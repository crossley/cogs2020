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ocuments\Marking\"/>
    </mc:Choice>
  </mc:AlternateContent>
  <xr:revisionPtr revIDLastSave="0" documentId="13_ncr:1_{0F2A82E8-045E-49CB-AC8C-0EFCCC85FA7E}" xr6:coauthVersionLast="47" xr6:coauthVersionMax="47" xr10:uidLastSave="{00000000-0000-0000-0000-000000000000}"/>
  <bookViews>
    <workbookView xWindow="-28920" yWindow="-2340" windowWidth="29040" windowHeight="15720" xr2:uid="{CDC3CEAC-ADF6-418E-A725-807C9C891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4" i="1" l="1"/>
  <c r="K13" i="1"/>
  <c r="K24" i="1"/>
  <c r="K26" i="1"/>
  <c r="J96" i="1"/>
  <c r="K96" i="1" s="1"/>
  <c r="J43" i="1"/>
  <c r="K43" i="1" s="1"/>
  <c r="J104" i="1"/>
  <c r="J118" i="1"/>
  <c r="K118" i="1" s="1"/>
  <c r="J2" i="1"/>
  <c r="K2" i="1" s="1"/>
  <c r="J50" i="1"/>
  <c r="K50" i="1" s="1"/>
  <c r="J3" i="1"/>
  <c r="K3" i="1" s="1"/>
  <c r="J51" i="1"/>
  <c r="K51" i="1" s="1"/>
  <c r="J86" i="1"/>
  <c r="K86" i="1" s="1"/>
  <c r="J97" i="1"/>
  <c r="K97" i="1" s="1"/>
  <c r="J4" i="1"/>
  <c r="K4" i="1" s="1"/>
  <c r="J72" i="1"/>
  <c r="K72" i="1" s="1"/>
  <c r="J92" i="1"/>
  <c r="K92" i="1" s="1"/>
  <c r="J5" i="1"/>
  <c r="K5" i="1" s="1"/>
  <c r="J6" i="1"/>
  <c r="K6" i="1" s="1"/>
  <c r="J7" i="1"/>
  <c r="K7" i="1" s="1"/>
  <c r="J54" i="1"/>
  <c r="K54" i="1" s="1"/>
  <c r="J60" i="1"/>
  <c r="K60" i="1" s="1"/>
  <c r="J8" i="1"/>
  <c r="K8" i="1" s="1"/>
  <c r="J105" i="1"/>
  <c r="K105" i="1" s="1"/>
  <c r="J115" i="1"/>
  <c r="K115" i="1" s="1"/>
  <c r="J9" i="1"/>
  <c r="K9" i="1" s="1"/>
  <c r="J46" i="1"/>
  <c r="K46" i="1" s="1"/>
  <c r="J10" i="1"/>
  <c r="K10" i="1" s="1"/>
  <c r="J11" i="1"/>
  <c r="K11" i="1" s="1"/>
  <c r="J12" i="1"/>
  <c r="K12" i="1" s="1"/>
  <c r="J13" i="1"/>
  <c r="J14" i="1"/>
  <c r="K14" i="1" s="1"/>
  <c r="J81" i="1"/>
  <c r="K81" i="1" s="1"/>
  <c r="J57" i="1"/>
  <c r="K57" i="1" s="1"/>
  <c r="J98" i="1"/>
  <c r="K98" i="1" s="1"/>
  <c r="J112" i="1"/>
  <c r="K112" i="1" s="1"/>
  <c r="J116" i="1"/>
  <c r="K116" i="1" s="1"/>
  <c r="J113" i="1"/>
  <c r="K113" i="1" s="1"/>
  <c r="J15" i="1"/>
  <c r="K15" i="1" s="1"/>
  <c r="J16" i="1"/>
  <c r="K16" i="1" s="1"/>
  <c r="J100" i="1"/>
  <c r="K100" i="1" s="1"/>
  <c r="J17" i="1"/>
  <c r="K17" i="1" s="1"/>
  <c r="J18" i="1"/>
  <c r="K18" i="1" s="1"/>
  <c r="J101" i="1"/>
  <c r="K101" i="1" s="1"/>
  <c r="J119" i="1"/>
  <c r="K119" i="1" s="1"/>
  <c r="J62" i="1"/>
  <c r="K62" i="1" s="1"/>
  <c r="J19" i="1"/>
  <c r="K19" i="1" s="1"/>
  <c r="J82" i="1"/>
  <c r="K82" i="1" s="1"/>
  <c r="J65" i="1"/>
  <c r="K65" i="1" s="1"/>
  <c r="J99" i="1"/>
  <c r="K99" i="1" s="1"/>
  <c r="J79" i="1"/>
  <c r="K79" i="1" s="1"/>
  <c r="J20" i="1"/>
  <c r="K20" i="1" s="1"/>
  <c r="J52" i="1"/>
  <c r="K52" i="1" s="1"/>
  <c r="J21" i="1"/>
  <c r="K21" i="1" s="1"/>
  <c r="J55" i="1"/>
  <c r="K55" i="1" s="1"/>
  <c r="J91" i="1"/>
  <c r="K91" i="1" s="1"/>
  <c r="J120" i="1"/>
  <c r="K120" i="1" s="1"/>
  <c r="J121" i="1"/>
  <c r="K121" i="1" s="1"/>
  <c r="J22" i="1"/>
  <c r="K22" i="1" s="1"/>
  <c r="J77" i="1"/>
  <c r="K77" i="1" s="1"/>
  <c r="J23" i="1"/>
  <c r="K23" i="1" s="1"/>
  <c r="J122" i="1"/>
  <c r="K122" i="1" s="1"/>
  <c r="J41" i="1"/>
  <c r="K41" i="1" s="1"/>
  <c r="J93" i="1"/>
  <c r="K93" i="1" s="1"/>
  <c r="J106" i="1"/>
  <c r="K106" i="1" s="1"/>
  <c r="J83" i="1"/>
  <c r="K83" i="1" s="1"/>
  <c r="J36" i="1"/>
  <c r="K36" i="1" s="1"/>
  <c r="J102" i="1"/>
  <c r="K102" i="1" s="1"/>
  <c r="J70" i="1"/>
  <c r="K70" i="1" s="1"/>
  <c r="J84" i="1"/>
  <c r="K84" i="1" s="1"/>
  <c r="J88" i="1"/>
  <c r="K88" i="1" s="1"/>
  <c r="J108" i="1"/>
  <c r="K108" i="1" s="1"/>
  <c r="J24" i="1"/>
  <c r="J58" i="1"/>
  <c r="K58" i="1" s="1"/>
  <c r="J66" i="1"/>
  <c r="K66" i="1" s="1"/>
  <c r="J25" i="1"/>
  <c r="K25" i="1" s="1"/>
  <c r="J63" i="1"/>
  <c r="K63" i="1" s="1"/>
  <c r="J109" i="1"/>
  <c r="K109" i="1" s="1"/>
  <c r="J114" i="1"/>
  <c r="K114" i="1" s="1"/>
  <c r="J26" i="1"/>
  <c r="J73" i="1"/>
  <c r="K73" i="1" s="1"/>
  <c r="J27" i="1"/>
  <c r="K27" i="1" s="1"/>
  <c r="J103" i="1"/>
  <c r="K103" i="1" s="1"/>
  <c r="J89" i="1"/>
  <c r="K89" i="1" s="1"/>
  <c r="J38" i="1"/>
  <c r="K38" i="1" s="1"/>
  <c r="J42" i="1"/>
  <c r="K42" i="1" s="1"/>
  <c r="J28" i="1"/>
  <c r="K28" i="1" s="1"/>
  <c r="J56" i="1"/>
  <c r="K56" i="1" s="1"/>
  <c r="J69" i="1"/>
  <c r="K69" i="1" s="1"/>
  <c r="J74" i="1"/>
  <c r="K74" i="1" s="1"/>
  <c r="J110" i="1"/>
  <c r="K110" i="1" s="1"/>
  <c r="J95" i="1"/>
  <c r="K95" i="1" s="1"/>
  <c r="J29" i="1"/>
  <c r="K29" i="1" s="1"/>
  <c r="J71" i="1"/>
  <c r="K71" i="1" s="1"/>
  <c r="J123" i="1"/>
  <c r="K123" i="1" s="1"/>
  <c r="J39" i="1"/>
  <c r="K39" i="1" s="1"/>
  <c r="J30" i="1"/>
  <c r="K30" i="1" s="1"/>
  <c r="J31" i="1"/>
  <c r="K31" i="1" s="1"/>
  <c r="J87" i="1"/>
  <c r="K87" i="1" s="1"/>
  <c r="J40" i="1"/>
  <c r="K40" i="1" s="1"/>
  <c r="J75" i="1"/>
  <c r="K75" i="1" s="1"/>
  <c r="J59" i="1"/>
  <c r="K59" i="1" s="1"/>
  <c r="J124" i="1"/>
  <c r="K124" i="1" s="1"/>
  <c r="J44" i="1"/>
  <c r="K44" i="1" s="1"/>
  <c r="J67" i="1"/>
  <c r="K67" i="1" s="1"/>
  <c r="J125" i="1"/>
  <c r="K125" i="1" s="1"/>
  <c r="J32" i="1"/>
  <c r="K32" i="1" s="1"/>
  <c r="J53" i="1"/>
  <c r="K53" i="1" s="1"/>
  <c r="J126" i="1"/>
  <c r="K126" i="1" s="1"/>
  <c r="J45" i="1"/>
  <c r="K45" i="1" s="1"/>
  <c r="J61" i="1"/>
  <c r="K61" i="1" s="1"/>
  <c r="J127" i="1"/>
  <c r="K127" i="1" s="1"/>
  <c r="J76" i="1"/>
  <c r="K76" i="1" s="1"/>
  <c r="J33" i="1"/>
  <c r="K33" i="1" s="1"/>
  <c r="J64" i="1"/>
  <c r="K64" i="1" s="1"/>
  <c r="J85" i="1"/>
  <c r="K85" i="1" s="1"/>
  <c r="J94" i="1"/>
  <c r="K94" i="1" s="1"/>
  <c r="J47" i="1"/>
  <c r="K47" i="1" s="1"/>
  <c r="J49" i="1"/>
  <c r="K49" i="1" s="1"/>
  <c r="J117" i="1"/>
  <c r="K117" i="1" s="1"/>
  <c r="J111" i="1"/>
  <c r="K111" i="1" s="1"/>
  <c r="J80" i="1"/>
  <c r="K80" i="1" s="1"/>
  <c r="J37" i="1"/>
  <c r="K37" i="1" s="1"/>
  <c r="J128" i="1"/>
  <c r="K128" i="1" s="1"/>
  <c r="J78" i="1"/>
  <c r="K78" i="1" s="1"/>
  <c r="J90" i="1"/>
  <c r="K90" i="1" s="1"/>
  <c r="J68" i="1"/>
  <c r="K68" i="1" s="1"/>
  <c r="J34" i="1"/>
  <c r="K34" i="1" s="1"/>
  <c r="J48" i="1"/>
  <c r="K48" i="1" s="1"/>
  <c r="J35" i="1"/>
  <c r="K35" i="1" s="1"/>
  <c r="J107" i="1"/>
  <c r="K107" i="1" s="1"/>
</calcChain>
</file>

<file path=xl/sharedStrings.xml><?xml version="1.0" encoding="utf-8"?>
<sst xmlns="http://schemas.openxmlformats.org/spreadsheetml/2006/main" count="286" uniqueCount="266">
  <si>
    <t>Last Name</t>
  </si>
  <si>
    <t>First Name</t>
  </si>
  <si>
    <t>Total</t>
  </si>
  <si>
    <t>Q0 (13.5%)</t>
  </si>
  <si>
    <t>Q1 (13.5%)</t>
  </si>
  <si>
    <t>Q2 (13.5%)</t>
  </si>
  <si>
    <t>Q3 (13.5%)</t>
  </si>
  <si>
    <t>Q5 (13.5%)</t>
  </si>
  <si>
    <t>Q4 (13.5%)</t>
  </si>
  <si>
    <t>No Errors (20%)</t>
  </si>
  <si>
    <t>Aboud</t>
  </si>
  <si>
    <t>Caspian</t>
  </si>
  <si>
    <t>Adan</t>
  </si>
  <si>
    <t>Aisha Danielle</t>
  </si>
  <si>
    <t>Alhakim</t>
  </si>
  <si>
    <t>Mountaha</t>
  </si>
  <si>
    <t>Ambler</t>
  </si>
  <si>
    <t>Isabella</t>
  </si>
  <si>
    <t>Arregui Soto</t>
  </si>
  <si>
    <t>Sirena-Maya</t>
  </si>
  <si>
    <t>Arsovski</t>
  </si>
  <si>
    <t>Ivana</t>
  </si>
  <si>
    <t>Arthurs</t>
  </si>
  <si>
    <t>Hannah</t>
  </si>
  <si>
    <t>Ashley</t>
  </si>
  <si>
    <t>Natassja</t>
  </si>
  <si>
    <t>Ayoub</t>
  </si>
  <si>
    <t>Cedra</t>
  </si>
  <si>
    <t>Bajaj</t>
  </si>
  <si>
    <t>Purab</t>
  </si>
  <si>
    <t>Bartlett</t>
  </si>
  <si>
    <t>Joshua</t>
  </si>
  <si>
    <t>Belmonte</t>
  </si>
  <si>
    <t>Thea Noreen Tolentino</t>
  </si>
  <si>
    <t>Bosinco-Hammett</t>
  </si>
  <si>
    <t>Eleanor</t>
  </si>
  <si>
    <t>Bramley</t>
  </si>
  <si>
    <t>Abbey</t>
  </si>
  <si>
    <t>Brenac</t>
  </si>
  <si>
    <t>Henri</t>
  </si>
  <si>
    <t>Brown</t>
  </si>
  <si>
    <t>Taylah</t>
  </si>
  <si>
    <t>Cheong</t>
  </si>
  <si>
    <t>Rian</t>
  </si>
  <si>
    <t>Chung</t>
  </si>
  <si>
    <t>Ciszewski</t>
  </si>
  <si>
    <t>Kimberly</t>
  </si>
  <si>
    <t>Coorey</t>
  </si>
  <si>
    <t>Justin</t>
  </si>
  <si>
    <t>Cui</t>
  </si>
  <si>
    <t>Yahan</t>
  </si>
  <si>
    <t>Curry</t>
  </si>
  <si>
    <t>Liam</t>
  </si>
  <si>
    <t>D'angri</t>
  </si>
  <si>
    <t>Jaime</t>
  </si>
  <si>
    <t>Dave</t>
  </si>
  <si>
    <t>Vrushti Raxesh</t>
  </si>
  <si>
    <t>Davies</t>
  </si>
  <si>
    <t>Caitlyn</t>
  </si>
  <si>
    <t>Dawson</t>
  </si>
  <si>
    <t>De Lucchi</t>
  </si>
  <si>
    <t>Michael</t>
  </si>
  <si>
    <t>Dhinakar</t>
  </si>
  <si>
    <t>Shruthika</t>
  </si>
  <si>
    <t>Dixon</t>
  </si>
  <si>
    <t>Claudia</t>
  </si>
  <si>
    <t>Downey</t>
  </si>
  <si>
    <t>Connor</t>
  </si>
  <si>
    <t>Dudding</t>
  </si>
  <si>
    <t>Tobias</t>
  </si>
  <si>
    <t>Dunn</t>
  </si>
  <si>
    <t>Anastazia</t>
  </si>
  <si>
    <t>Dunwell</t>
  </si>
  <si>
    <t>Charlotte</t>
  </si>
  <si>
    <t>Elayan</t>
  </si>
  <si>
    <t>Ruba</t>
  </si>
  <si>
    <t>Etherington</t>
  </si>
  <si>
    <t>Paige</t>
  </si>
  <si>
    <t>Farr</t>
  </si>
  <si>
    <t>Lauren</t>
  </si>
  <si>
    <t>Femia</t>
  </si>
  <si>
    <t>Olivia</t>
  </si>
  <si>
    <t>Forrest</t>
  </si>
  <si>
    <t>Millie</t>
  </si>
  <si>
    <t>Frawley</t>
  </si>
  <si>
    <t>William</t>
  </si>
  <si>
    <t>Gadgil</t>
  </si>
  <si>
    <t>Karishama</t>
  </si>
  <si>
    <t>Galursapto</t>
  </si>
  <si>
    <t>Abigail Syadiva</t>
  </si>
  <si>
    <t>Glorioso</t>
  </si>
  <si>
    <t>Nicole Rose</t>
  </si>
  <si>
    <t>Greenfield</t>
  </si>
  <si>
    <t>Sophie</t>
  </si>
  <si>
    <t>Greenwood</t>
  </si>
  <si>
    <t>James</t>
  </si>
  <si>
    <t>Griffin</t>
  </si>
  <si>
    <t>Ethan</t>
  </si>
  <si>
    <t>Ho</t>
  </si>
  <si>
    <t>Julian</t>
  </si>
  <si>
    <t>Howell</t>
  </si>
  <si>
    <t>Imogen</t>
  </si>
  <si>
    <t>Huenerbein</t>
  </si>
  <si>
    <t>Jacob</t>
  </si>
  <si>
    <t>Ibarburu</t>
  </si>
  <si>
    <t>Alysha</t>
  </si>
  <si>
    <t>Ibrahim</t>
  </si>
  <si>
    <t>Magdolin</t>
  </si>
  <si>
    <t>Immadi</t>
  </si>
  <si>
    <t>Alekhya</t>
  </si>
  <si>
    <t>Jagdev</t>
  </si>
  <si>
    <t>Pranit</t>
  </si>
  <si>
    <t>Janda</t>
  </si>
  <si>
    <t>Petra</t>
  </si>
  <si>
    <t>Justiniano Fuenmayor</t>
  </si>
  <si>
    <t>Irene</t>
  </si>
  <si>
    <t>Kaleski</t>
  </si>
  <si>
    <t>Kaur</t>
  </si>
  <si>
    <t>Parminder</t>
  </si>
  <si>
    <t>Keech</t>
  </si>
  <si>
    <t>Kelly</t>
  </si>
  <si>
    <t>Keira</t>
  </si>
  <si>
    <t>Kennedy</t>
  </si>
  <si>
    <t>Ben</t>
  </si>
  <si>
    <t>Shanna</t>
  </si>
  <si>
    <t>Kenny</t>
  </si>
  <si>
    <t>Khoshnoud-Rad</t>
  </si>
  <si>
    <t>Alyah</t>
  </si>
  <si>
    <t>Kim</t>
  </si>
  <si>
    <t>Evelyn</t>
  </si>
  <si>
    <t>Kirti</t>
  </si>
  <si>
    <t>Pratham</t>
  </si>
  <si>
    <t>Koolmees</t>
  </si>
  <si>
    <t>Oscar</t>
  </si>
  <si>
    <t>Kratochvil</t>
  </si>
  <si>
    <t>KULAK</t>
  </si>
  <si>
    <t>LARA</t>
  </si>
  <si>
    <t>Lam</t>
  </si>
  <si>
    <t>Thao Nhu</t>
  </si>
  <si>
    <t>Lamberth</t>
  </si>
  <si>
    <t>Jamie</t>
  </si>
  <si>
    <t>Lee</t>
  </si>
  <si>
    <t>Mathew</t>
  </si>
  <si>
    <t>Levin</t>
  </si>
  <si>
    <t>Brandon</t>
  </si>
  <si>
    <t>Liew</t>
  </si>
  <si>
    <t>Samantha</t>
  </si>
  <si>
    <t>Maguire</t>
  </si>
  <si>
    <t>Joseph</t>
  </si>
  <si>
    <t>Mallett</t>
  </si>
  <si>
    <t>Ainsley</t>
  </si>
  <si>
    <t>Mccormick</t>
  </si>
  <si>
    <t>Mclean</t>
  </si>
  <si>
    <t>Annie</t>
  </si>
  <si>
    <t>Miller</t>
  </si>
  <si>
    <t>Lydia-Rose</t>
  </si>
  <si>
    <t>Miller-Argue</t>
  </si>
  <si>
    <t>Sarah</t>
  </si>
  <si>
    <t>Moroka</t>
  </si>
  <si>
    <t>Mogi</t>
  </si>
  <si>
    <t>Morrison</t>
  </si>
  <si>
    <t>Tallulah</t>
  </si>
  <si>
    <t>Murphy</t>
  </si>
  <si>
    <t>Jack</t>
  </si>
  <si>
    <t>Naidu</t>
  </si>
  <si>
    <t>Aishaani</t>
  </si>
  <si>
    <t>Nanik</t>
  </si>
  <si>
    <t>Rahul</t>
  </si>
  <si>
    <t>Newsome</t>
  </si>
  <si>
    <t>Hunter</t>
  </si>
  <si>
    <t>Nisa</t>
  </si>
  <si>
    <t>Aziza</t>
  </si>
  <si>
    <t>Oey</t>
  </si>
  <si>
    <t>Sinead</t>
  </si>
  <si>
    <t>O'Hehir</t>
  </si>
  <si>
    <t>Nicholas</t>
  </si>
  <si>
    <t>Olatona</t>
  </si>
  <si>
    <t>Serena</t>
  </si>
  <si>
    <t>Olivares</t>
  </si>
  <si>
    <t>Felicity</t>
  </si>
  <si>
    <t>Ontedhu Reddy</t>
  </si>
  <si>
    <t>Jacynth</t>
  </si>
  <si>
    <t>Overton</t>
  </si>
  <si>
    <t>Pasanai</t>
  </si>
  <si>
    <t>Marinda</t>
  </si>
  <si>
    <t>Pingamage</t>
  </si>
  <si>
    <t>Dinithi</t>
  </si>
  <si>
    <t>Ramsay</t>
  </si>
  <si>
    <t>Taryn</t>
  </si>
  <si>
    <t>Rodriguez</t>
  </si>
  <si>
    <t>Eduardo Miguel Galsim</t>
  </si>
  <si>
    <t>Ruber</t>
  </si>
  <si>
    <t>Shiri</t>
  </si>
  <si>
    <t>Samsudeen</t>
  </si>
  <si>
    <t>Ariff</t>
  </si>
  <si>
    <t>Saunders</t>
  </si>
  <si>
    <t>Luke</t>
  </si>
  <si>
    <t>Schroeter</t>
  </si>
  <si>
    <t>Schwartz</t>
  </si>
  <si>
    <t>Ester</t>
  </si>
  <si>
    <t>Senator</t>
  </si>
  <si>
    <t>Yoella</t>
  </si>
  <si>
    <t>Sergi</t>
  </si>
  <si>
    <t>Elise</t>
  </si>
  <si>
    <t>Sim</t>
  </si>
  <si>
    <t>Sheak Yin</t>
  </si>
  <si>
    <t>Singh</t>
  </si>
  <si>
    <t>Suraksha</t>
  </si>
  <si>
    <t>Lavanya</t>
  </si>
  <si>
    <t>Smith</t>
  </si>
  <si>
    <t>Kate</t>
  </si>
  <si>
    <t>Spiers</t>
  </si>
  <si>
    <t>Byron</t>
  </si>
  <si>
    <t>Stead</t>
  </si>
  <si>
    <t>Kendall</t>
  </si>
  <si>
    <t>Stevenson</t>
  </si>
  <si>
    <t>Angus</t>
  </si>
  <si>
    <t>Strauss</t>
  </si>
  <si>
    <t>Tavner</t>
  </si>
  <si>
    <t>Shaya</t>
  </si>
  <si>
    <t>Tomas</t>
  </si>
  <si>
    <t>Alicia</t>
  </si>
  <si>
    <t>Trauntner</t>
  </si>
  <si>
    <t>Alexander</t>
  </si>
  <si>
    <t>Tu</t>
  </si>
  <si>
    <t>Jessica Ngoc Hue</t>
  </si>
  <si>
    <t>Tuala</t>
  </si>
  <si>
    <t>Moana</t>
  </si>
  <si>
    <t>Vencalkova</t>
  </si>
  <si>
    <t>Sara</t>
  </si>
  <si>
    <t>Venegas</t>
  </si>
  <si>
    <t>Aidan</t>
  </si>
  <si>
    <t>Verapong</t>
  </si>
  <si>
    <t>Tanawin</t>
  </si>
  <si>
    <t>Vivekananthan</t>
  </si>
  <si>
    <t>Sakthivel</t>
  </si>
  <si>
    <t>Wang</t>
  </si>
  <si>
    <t>Wibowo</t>
  </si>
  <si>
    <t>Kayla Josephine</t>
  </si>
  <si>
    <t>Wilcock</t>
  </si>
  <si>
    <t>Williams</t>
  </si>
  <si>
    <t>Quianna</t>
  </si>
  <si>
    <t>Wilson</t>
  </si>
  <si>
    <t>Kellyanne</t>
  </si>
  <si>
    <t>Wood</t>
  </si>
  <si>
    <t>Kezia</t>
  </si>
  <si>
    <t>Xenofontos</t>
  </si>
  <si>
    <t>Nicole</t>
  </si>
  <si>
    <t>For Matt</t>
  </si>
  <si>
    <t>Day late</t>
  </si>
  <si>
    <t>Three hours late, some weird code</t>
  </si>
  <si>
    <t>They noted an error they couldn't fix, so I carried the error forward for them into Q 5</t>
  </si>
  <si>
    <t>Total_rounded</t>
  </si>
  <si>
    <t>Errors carried forward, whatever they did in Q4, they repeated the error in Q5</t>
  </si>
  <si>
    <t>Not sure how person missed having the libraries loaded</t>
  </si>
  <si>
    <t>Not sure what this person did, chat GPT probably</t>
  </si>
  <si>
    <t>Didn't load ggplot (though clearly used)</t>
  </si>
  <si>
    <t>Weird that they have images in boxes</t>
  </si>
  <si>
    <t>Day Late</t>
  </si>
  <si>
    <t>Half day late</t>
  </si>
  <si>
    <t>Odd boxes</t>
  </si>
  <si>
    <t>Student needs to check work before hand in</t>
  </si>
  <si>
    <t xml:space="preserve">Half day late, loaded cars for some reason, and then did… nothing? </t>
  </si>
  <si>
    <t>Boxes around graphs for some reason</t>
  </si>
  <si>
    <t>Zero actual output</t>
  </si>
  <si>
    <t>Didn't actually make an rmarkdown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</si>
</sst>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Verdana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CC59-93BE-4037-B91F-9BA15D6DF5F2}">
  <dimension ref="A1:L134"/>
  <sheetViews>
    <sheetView tabSelected="1" workbookViewId="0">
      <selection activeCell="D14" sqref="D14"/>
    </sheetView>
  </sheetViews>
  <sheetFormatPr defaultRowHeight="14.4" x14ac:dyDescent="0.3"/>
  <cols>
    <col min="1" max="2" width="16.6640625" customWidth="1"/>
    <col min="3" max="3" width="12.44140625" bestFit="1" customWidth="1"/>
  </cols>
  <sheetData>
    <row r="1" spans="1:12" x14ac:dyDescent="0.3">
      <c r="A1" s="1" t="s">
        <v>0</v>
      </c>
      <c r="B1" s="1" t="s">
        <v>1</v>
      </c>
      <c r="C1" t="s">
        <v>9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2</v>
      </c>
      <c r="K1" t="s">
        <v>252</v>
      </c>
      <c r="L1" t="s">
        <v>248</v>
      </c>
    </row>
    <row r="2" spans="1:12" x14ac:dyDescent="0.3">
      <c r="A2" s="4" t="s">
        <v>20</v>
      </c>
      <c r="B2" s="3" t="s">
        <v>21</v>
      </c>
      <c r="J2">
        <f>C2*20+D2*13+E2*13+F2*13.5+G2*13.5+H2*13.5+I2*13.5</f>
        <v>0</v>
      </c>
      <c r="K2">
        <f>ROUND(J2,0)</f>
        <v>0</v>
      </c>
      <c r="L2" t="s">
        <v>249</v>
      </c>
    </row>
    <row r="3" spans="1:12" x14ac:dyDescent="0.3">
      <c r="A3" s="4" t="s">
        <v>24</v>
      </c>
      <c r="B3" s="3" t="s">
        <v>25</v>
      </c>
      <c r="J3">
        <f>C3*20+D3*13+E3*13+F3*13.5+G3*13.5+H3*13.5+I3*13.5</f>
        <v>0</v>
      </c>
      <c r="K3">
        <f>ROUND(J3,0)</f>
        <v>0</v>
      </c>
    </row>
    <row r="4" spans="1:12" x14ac:dyDescent="0.3">
      <c r="A4" s="4" t="s">
        <v>32</v>
      </c>
      <c r="B4" s="3" t="s">
        <v>33</v>
      </c>
      <c r="J4">
        <f>C4*20+D4*13+E4*13+F4*13.5+G4*13.5+H4*13.5+I4*13.5</f>
        <v>0</v>
      </c>
      <c r="K4">
        <f>ROUND(J4,0)</f>
        <v>0</v>
      </c>
    </row>
    <row r="5" spans="1:12" x14ac:dyDescent="0.3">
      <c r="A5" s="4" t="s">
        <v>38</v>
      </c>
      <c r="B5" s="3" t="s">
        <v>39</v>
      </c>
      <c r="J5">
        <f>C5*20+D5*13+E5*13+F5*13.5+G5*13.5+H5*13.5+I5*13.5</f>
        <v>0</v>
      </c>
      <c r="K5">
        <f>ROUND(J5,0)</f>
        <v>0</v>
      </c>
    </row>
    <row r="6" spans="1:12" x14ac:dyDescent="0.3">
      <c r="A6" s="4" t="s">
        <v>40</v>
      </c>
      <c r="B6" s="3" t="s">
        <v>41</v>
      </c>
      <c r="J6">
        <f>C6*20+D6*13+E6*13+F6*13.5+G6*13.5+H6*13.5+I6*13.5</f>
        <v>0</v>
      </c>
      <c r="K6">
        <f>ROUND(J6,0)</f>
        <v>0</v>
      </c>
    </row>
    <row r="7" spans="1:12" x14ac:dyDescent="0.3">
      <c r="A7" s="4" t="s">
        <v>42</v>
      </c>
      <c r="B7" s="3" t="s">
        <v>43</v>
      </c>
      <c r="J7">
        <f>C7*20+D7*13+E7*13+F7*13.5+G7*13.5+H7*13.5+I7*13.5</f>
        <v>0</v>
      </c>
      <c r="K7">
        <f>ROUND(J7,0)</f>
        <v>0</v>
      </c>
    </row>
    <row r="8" spans="1:12" x14ac:dyDescent="0.3">
      <c r="A8" s="4" t="s">
        <v>47</v>
      </c>
      <c r="B8" s="3" t="s">
        <v>48</v>
      </c>
      <c r="J8">
        <f>C8*20+D8*13+E8*13+F8*13.5+G8*13.5+H8*13.5+I8*13.5</f>
        <v>0</v>
      </c>
      <c r="K8">
        <f>ROUND(J8,0)</f>
        <v>0</v>
      </c>
    </row>
    <row r="9" spans="1:12" x14ac:dyDescent="0.3">
      <c r="A9" s="4" t="s">
        <v>53</v>
      </c>
      <c r="B9" s="3" t="s">
        <v>54</v>
      </c>
      <c r="J9">
        <f>C9*20+D9*13+E9*13+F9*13.5+G9*13.5+H9*13.5+I9*13.5</f>
        <v>0</v>
      </c>
      <c r="K9">
        <f>ROUND(J9,0)</f>
        <v>0</v>
      </c>
    </row>
    <row r="10" spans="1:12" x14ac:dyDescent="0.3">
      <c r="A10" s="4" t="s">
        <v>57</v>
      </c>
      <c r="B10" s="3" t="s">
        <v>58</v>
      </c>
      <c r="J10">
        <f>C10*20+D10*13+E10*13+F10*13.5+G10*13.5+H10*13.5+I10*13.5</f>
        <v>0</v>
      </c>
      <c r="K10">
        <f>ROUND(J10,0)</f>
        <v>0</v>
      </c>
    </row>
    <row r="11" spans="1:12" x14ac:dyDescent="0.3">
      <c r="A11" s="4" t="s">
        <v>59</v>
      </c>
      <c r="B11" s="3" t="s">
        <v>54</v>
      </c>
      <c r="J11">
        <f>C11*20+D11*13+E11*13+F11*13.5+G11*13.5+H11*13.5+I11*13.5</f>
        <v>0</v>
      </c>
      <c r="K11">
        <f>ROUND(J11,0)</f>
        <v>0</v>
      </c>
    </row>
    <row r="12" spans="1:12" x14ac:dyDescent="0.3">
      <c r="A12" s="4" t="s">
        <v>60</v>
      </c>
      <c r="B12" s="3" t="s">
        <v>61</v>
      </c>
      <c r="J12">
        <f>C12*20+D12*13+E12*13+F12*13.5+G12*13.5+H12*13.5+I12*13.5</f>
        <v>0</v>
      </c>
      <c r="K12">
        <f>ROUND(J12,0)</f>
        <v>0</v>
      </c>
    </row>
    <row r="13" spans="1:12" x14ac:dyDescent="0.3">
      <c r="A13" s="4" t="s">
        <v>62</v>
      </c>
      <c r="B13" s="3" t="s">
        <v>63</v>
      </c>
      <c r="J13">
        <f>C13*20+D13*13+E13*13+F13*13.5+G13*13.5+H13*13.5+I13*13.5</f>
        <v>0</v>
      </c>
      <c r="K13">
        <f>ROUND(J13,0)</f>
        <v>0</v>
      </c>
    </row>
    <row r="14" spans="1:12" x14ac:dyDescent="0.3">
      <c r="A14" s="4" t="s">
        <v>64</v>
      </c>
      <c r="B14" s="3" t="s">
        <v>65</v>
      </c>
      <c r="J14">
        <f>C14*20+D14*13+E14*13+F14*13.5+G14*13.5+H14*13.5+I14*13.5</f>
        <v>0</v>
      </c>
      <c r="K14">
        <f>ROUND(J14,0)</f>
        <v>0</v>
      </c>
    </row>
    <row r="15" spans="1:12" x14ac:dyDescent="0.3">
      <c r="A15" s="4" t="s">
        <v>78</v>
      </c>
      <c r="B15" s="3" t="s">
        <v>79</v>
      </c>
      <c r="J15">
        <f>C15*20+D15*13+E15*13+F15*13.5+G15*13.5+H15*13.5+I15*13.5</f>
        <v>0</v>
      </c>
      <c r="K15">
        <f>ROUND(J15,0)</f>
        <v>0</v>
      </c>
    </row>
    <row r="16" spans="1:12" x14ac:dyDescent="0.3">
      <c r="A16" s="4" t="s">
        <v>80</v>
      </c>
      <c r="B16" s="3" t="s">
        <v>81</v>
      </c>
      <c r="J16">
        <f>C16*20+D16*13+E16*13+F16*13.5+G16*13.5+H16*13.5+I16*13.5</f>
        <v>0</v>
      </c>
      <c r="K16">
        <f>ROUND(J16,0)</f>
        <v>0</v>
      </c>
    </row>
    <row r="17" spans="1:12" x14ac:dyDescent="0.3">
      <c r="A17" s="4" t="s">
        <v>84</v>
      </c>
      <c r="B17" s="3" t="s">
        <v>85</v>
      </c>
      <c r="J17">
        <f>C17*20+D17*13+E17*13+F17*13.5+G17*13.5+H17*13.5+I17*13.5</f>
        <v>0</v>
      </c>
      <c r="K17">
        <f>ROUND(J17,0)</f>
        <v>0</v>
      </c>
    </row>
    <row r="18" spans="1:12" x14ac:dyDescent="0.3">
      <c r="A18" s="4" t="s">
        <v>86</v>
      </c>
      <c r="B18" s="3" t="s">
        <v>87</v>
      </c>
      <c r="J18">
        <f>C18*20+D18*13+E18*13+F18*13.5+G18*13.5+H18*13.5+I18*13.5</f>
        <v>0</v>
      </c>
      <c r="K18">
        <f>ROUND(J18,0)</f>
        <v>0</v>
      </c>
    </row>
    <row r="19" spans="1:12" x14ac:dyDescent="0.3">
      <c r="A19" s="4" t="s">
        <v>94</v>
      </c>
      <c r="B19" s="3" t="s">
        <v>95</v>
      </c>
      <c r="J19">
        <f>C19*20+D19*13+E19*13+F19*13.5+G19*13.5+H19*13.5+I19*13.5</f>
        <v>0</v>
      </c>
      <c r="K19">
        <f>ROUND(J19,0)</f>
        <v>0</v>
      </c>
    </row>
    <row r="20" spans="1:12" x14ac:dyDescent="0.3">
      <c r="A20" s="4" t="s">
        <v>104</v>
      </c>
      <c r="B20" s="3" t="s">
        <v>105</v>
      </c>
      <c r="J20">
        <f>C20*20+D20*13+E20*13+F20*13.5+G20*13.5+H20*13.5+I20*13.5</f>
        <v>0</v>
      </c>
      <c r="K20">
        <f>ROUND(J20,0)</f>
        <v>0</v>
      </c>
    </row>
    <row r="21" spans="1:12" x14ac:dyDescent="0.3">
      <c r="A21" s="4" t="s">
        <v>108</v>
      </c>
      <c r="B21" s="3" t="s">
        <v>109</v>
      </c>
      <c r="J21">
        <f>C21*20+D21*13+E21*13+F21*13.5+G21*13.5+H21*13.5+I21*13.5</f>
        <v>0</v>
      </c>
      <c r="K21">
        <f>ROUND(J21,0)</f>
        <v>0</v>
      </c>
    </row>
    <row r="22" spans="1:12" x14ac:dyDescent="0.3">
      <c r="A22" s="4" t="s">
        <v>117</v>
      </c>
      <c r="B22" s="3" t="s">
        <v>118</v>
      </c>
      <c r="J22">
        <f>C22*20+D22*13+E22*13+F22*13.5+G22*13.5+H22*13.5+I22*13.5</f>
        <v>0</v>
      </c>
      <c r="K22">
        <f>ROUND(J22,0)</f>
        <v>0</v>
      </c>
    </row>
    <row r="23" spans="1:12" x14ac:dyDescent="0.3">
      <c r="A23" s="4" t="s">
        <v>120</v>
      </c>
      <c r="B23" s="3" t="s">
        <v>121</v>
      </c>
      <c r="J23">
        <f>C23*20+D23*13+E23*13+F23*13.5+G23*13.5+H23*13.5+I23*13.5</f>
        <v>0</v>
      </c>
      <c r="K23">
        <f>ROUND(J23,0)</f>
        <v>0</v>
      </c>
    </row>
    <row r="24" spans="1:12" x14ac:dyDescent="0.3">
      <c r="A24" s="4" t="s">
        <v>141</v>
      </c>
      <c r="B24" s="3" t="s">
        <v>142</v>
      </c>
      <c r="J24">
        <f>C24*20+D24*13+E24*13+F24*13.5+G24*13.5+H24*13.5+I24*13.5</f>
        <v>0</v>
      </c>
      <c r="K24">
        <f>ROUND(J24,0)</f>
        <v>0</v>
      </c>
    </row>
    <row r="25" spans="1:12" x14ac:dyDescent="0.3">
      <c r="A25" s="4" t="s">
        <v>147</v>
      </c>
      <c r="B25" s="3" t="s">
        <v>148</v>
      </c>
      <c r="J25">
        <f>C25*20+D25*13+E25*13+F25*13.5+G25*13.5+H25*13.5+I25*13.5</f>
        <v>0</v>
      </c>
      <c r="K25">
        <f>ROUND(J25,0)</f>
        <v>0</v>
      </c>
      <c r="L25" t="s">
        <v>259</v>
      </c>
    </row>
    <row r="26" spans="1:12" x14ac:dyDescent="0.3">
      <c r="A26" s="4" t="s">
        <v>154</v>
      </c>
      <c r="B26" s="3" t="s">
        <v>155</v>
      </c>
      <c r="J26">
        <f>C26*20+D26*13+E26*13+F26*13.5+G26*13.5+H26*13.5+I26*13.5</f>
        <v>0</v>
      </c>
      <c r="K26">
        <f>ROUND(J26,0)</f>
        <v>0</v>
      </c>
    </row>
    <row r="27" spans="1:12" x14ac:dyDescent="0.3">
      <c r="A27" s="4" t="s">
        <v>158</v>
      </c>
      <c r="B27" s="3" t="s">
        <v>159</v>
      </c>
      <c r="J27">
        <f>C27*20+D27*13+E27*13+F27*13.5+G27*13.5+H27*13.5+I27*13.5</f>
        <v>0</v>
      </c>
      <c r="K27">
        <f>ROUND(J27,0)</f>
        <v>0</v>
      </c>
    </row>
    <row r="28" spans="1:12" x14ac:dyDescent="0.3">
      <c r="A28" s="2" t="s">
        <v>168</v>
      </c>
      <c r="B28" s="3" t="s">
        <v>169</v>
      </c>
      <c r="J28">
        <f>C28*20+D28*13+E28*13+F28*13.5+G28*13.5+H28*13.5+I28*13.5</f>
        <v>0</v>
      </c>
      <c r="K28">
        <f>ROUND(J28,0)</f>
        <v>0</v>
      </c>
      <c r="L28" t="s">
        <v>249</v>
      </c>
    </row>
    <row r="29" spans="1:12" x14ac:dyDescent="0.3">
      <c r="A29" s="2" t="s">
        <v>180</v>
      </c>
      <c r="B29" s="3" t="s">
        <v>181</v>
      </c>
      <c r="J29">
        <f>C29*20+D29*13+E29*13+F29*13.5+G29*13.5+H29*13.5+I29*13.5</f>
        <v>0</v>
      </c>
      <c r="K29">
        <f>ROUND(J29,0)</f>
        <v>0</v>
      </c>
    </row>
    <row r="30" spans="1:12" x14ac:dyDescent="0.3">
      <c r="A30" s="2" t="s">
        <v>187</v>
      </c>
      <c r="B30" s="3" t="s">
        <v>188</v>
      </c>
      <c r="J30">
        <f>C30*20+D30*13+E30*13+F30*13.5+G30*13.5+H30*13.5+I30*13.5</f>
        <v>0</v>
      </c>
      <c r="K30">
        <f>ROUND(J30,0)</f>
        <v>0</v>
      </c>
    </row>
    <row r="31" spans="1:12" x14ac:dyDescent="0.3">
      <c r="A31" s="2" t="s">
        <v>189</v>
      </c>
      <c r="B31" s="3" t="s">
        <v>190</v>
      </c>
      <c r="J31">
        <f>C31*20+D31*13+E31*13+F31*13.5+G31*13.5+H31*13.5+I31*13.5</f>
        <v>0</v>
      </c>
      <c r="K31">
        <f>ROUND(J31,0)</f>
        <v>0</v>
      </c>
      <c r="L31" t="s">
        <v>249</v>
      </c>
    </row>
    <row r="32" spans="1:12" x14ac:dyDescent="0.3">
      <c r="A32" s="2" t="s">
        <v>206</v>
      </c>
      <c r="B32" s="2" t="s">
        <v>207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f>C32*20+D32*13+E32*13+F32*13.5+G32*13.5+H32*13.5+I32*13.5</f>
        <v>0</v>
      </c>
      <c r="K32">
        <f>ROUND(J32,0)</f>
        <v>0</v>
      </c>
      <c r="L32" t="s">
        <v>262</v>
      </c>
    </row>
    <row r="33" spans="1:12" x14ac:dyDescent="0.3">
      <c r="A33" s="2" t="s">
        <v>217</v>
      </c>
      <c r="B33" s="3" t="s">
        <v>210</v>
      </c>
      <c r="J33">
        <f>C33*20+D33*13+E33*13+F33*13.5+G33*13.5+H33*13.5+I33*13.5</f>
        <v>0</v>
      </c>
      <c r="K33">
        <f>ROUND(J33,0)</f>
        <v>0</v>
      </c>
    </row>
    <row r="34" spans="1:12" x14ac:dyDescent="0.3">
      <c r="A34" s="2" t="s">
        <v>242</v>
      </c>
      <c r="B34" s="3" t="s">
        <v>243</v>
      </c>
      <c r="J34">
        <f>C34*20+D34*13+E34*13+F34*13.5+G34*13.5+H34*13.5+I34*13.5</f>
        <v>0</v>
      </c>
      <c r="K34">
        <f>ROUND(J34,0)</f>
        <v>0</v>
      </c>
    </row>
    <row r="35" spans="1:12" x14ac:dyDescent="0.3">
      <c r="A35" s="2" t="s">
        <v>246</v>
      </c>
      <c r="B35" s="3" t="s">
        <v>247</v>
      </c>
      <c r="J35">
        <f>C35*20+D35*13+E35*13+F35*13.5+G35*13.5+H35*13.5+I35*13.5</f>
        <v>0</v>
      </c>
      <c r="K35">
        <f>ROUND(J35,0)</f>
        <v>0</v>
      </c>
      <c r="L35" t="s">
        <v>265</v>
      </c>
    </row>
    <row r="36" spans="1:12" x14ac:dyDescent="0.3">
      <c r="A36" s="2" t="s">
        <v>130</v>
      </c>
      <c r="B36" s="2" t="s">
        <v>131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f>C36*20+D36*13+E36*13+F36*13.5+G36*13.5+H36*13.5+I36*13.5</f>
        <v>13</v>
      </c>
      <c r="K36">
        <f>ROUND(J36,0)</f>
        <v>13</v>
      </c>
      <c r="L36" t="s">
        <v>255</v>
      </c>
    </row>
    <row r="37" spans="1:12" x14ac:dyDescent="0.3">
      <c r="A37" s="2" t="s">
        <v>234</v>
      </c>
      <c r="B37" s="3" t="s">
        <v>235</v>
      </c>
      <c r="D37">
        <v>1</v>
      </c>
      <c r="J37">
        <f>C37*20+D37*13+E37*13+F37*13.5+G37*13.5+H37*13.5+I37*13.5</f>
        <v>13</v>
      </c>
      <c r="K37">
        <f>ROUND(J37,0)</f>
        <v>13</v>
      </c>
      <c r="L37" t="s">
        <v>264</v>
      </c>
    </row>
    <row r="38" spans="1:12" x14ac:dyDescent="0.3">
      <c r="A38" s="2" t="s">
        <v>164</v>
      </c>
      <c r="B38" s="2" t="s">
        <v>165</v>
      </c>
      <c r="C38">
        <v>1</v>
      </c>
      <c r="D38">
        <v>0.5</v>
      </c>
      <c r="E38">
        <v>0</v>
      </c>
      <c r="F38">
        <v>0.5</v>
      </c>
      <c r="G38">
        <v>0.2</v>
      </c>
      <c r="H38">
        <v>0.2</v>
      </c>
      <c r="I38">
        <v>0.1</v>
      </c>
      <c r="J38">
        <f>C38*20+D38*13+E38*13+F38*13.5+G38*13.5+H38*13.5+I38*13.5</f>
        <v>40.000000000000007</v>
      </c>
      <c r="K38">
        <f>ROUND(J38,0)</f>
        <v>40</v>
      </c>
      <c r="L38" t="s">
        <v>249</v>
      </c>
    </row>
    <row r="39" spans="1:12" x14ac:dyDescent="0.3">
      <c r="A39" s="2" t="s">
        <v>185</v>
      </c>
      <c r="B39" s="2" t="s">
        <v>186</v>
      </c>
      <c r="C39">
        <v>1</v>
      </c>
      <c r="D39">
        <v>1</v>
      </c>
      <c r="E39">
        <v>0</v>
      </c>
      <c r="F39">
        <v>0.2</v>
      </c>
      <c r="G39">
        <v>0.2</v>
      </c>
      <c r="H39">
        <v>0.1</v>
      </c>
      <c r="I39">
        <v>0.2</v>
      </c>
      <c r="J39">
        <f>C39*20+D39*13+E39*13+F39*13.5+G39*13.5+H39*13.5+I39*13.5</f>
        <v>42.45000000000001</v>
      </c>
      <c r="K39">
        <f>ROUND(J39,0)</f>
        <v>42</v>
      </c>
    </row>
    <row r="40" spans="1:12" x14ac:dyDescent="0.3">
      <c r="A40" s="2" t="s">
        <v>193</v>
      </c>
      <c r="B40" s="2" t="s">
        <v>194</v>
      </c>
      <c r="C40">
        <v>1</v>
      </c>
      <c r="D40">
        <v>0.5</v>
      </c>
      <c r="E40">
        <v>0</v>
      </c>
      <c r="F40">
        <v>0.2</v>
      </c>
      <c r="G40">
        <v>0.6</v>
      </c>
      <c r="H40">
        <v>0.4</v>
      </c>
      <c r="I40">
        <v>0</v>
      </c>
      <c r="J40">
        <f>C40*20+D40*13+E40*13+F40*13.5+G40*13.5+H40*13.5+I40*13.5</f>
        <v>42.699999999999996</v>
      </c>
      <c r="K40">
        <f>ROUND(J40,0)</f>
        <v>43</v>
      </c>
      <c r="L40" t="s">
        <v>261</v>
      </c>
    </row>
    <row r="41" spans="1:12" x14ac:dyDescent="0.3">
      <c r="A41" s="2" t="s">
        <v>122</v>
      </c>
      <c r="B41" s="2" t="s">
        <v>124</v>
      </c>
      <c r="C41">
        <v>1</v>
      </c>
      <c r="D41">
        <v>1</v>
      </c>
      <c r="E41">
        <v>0</v>
      </c>
      <c r="F41">
        <v>0.5</v>
      </c>
      <c r="G41">
        <v>0.1</v>
      </c>
      <c r="H41">
        <v>0.1</v>
      </c>
      <c r="I41">
        <v>0.2</v>
      </c>
      <c r="J41">
        <f>C41*20+D41*13+E41*13+F41*13.5+G41*13.5+H41*13.5+I41*13.5</f>
        <v>45.150000000000006</v>
      </c>
      <c r="K41">
        <f>ROUND(J41,0)</f>
        <v>45</v>
      </c>
    </row>
    <row r="42" spans="1:12" x14ac:dyDescent="0.3">
      <c r="A42" s="2" t="s">
        <v>166</v>
      </c>
      <c r="B42" s="2" t="s">
        <v>167</v>
      </c>
      <c r="C42">
        <v>1</v>
      </c>
      <c r="D42">
        <v>0.5</v>
      </c>
      <c r="E42">
        <v>0</v>
      </c>
      <c r="F42">
        <v>1</v>
      </c>
      <c r="G42">
        <v>0.6</v>
      </c>
      <c r="H42">
        <v>0</v>
      </c>
      <c r="I42">
        <v>0.1</v>
      </c>
      <c r="J42">
        <f>C42*20+D42*13+E42*13+F42*13.5+G42*13.5+H42*13.5+I42*13.5</f>
        <v>49.45</v>
      </c>
      <c r="K42">
        <f>ROUND(J42,0)</f>
        <v>49</v>
      </c>
    </row>
    <row r="43" spans="1:12" x14ac:dyDescent="0.3">
      <c r="A43" s="2" t="s">
        <v>14</v>
      </c>
      <c r="B43" s="2" t="s">
        <v>15</v>
      </c>
      <c r="C43">
        <v>1</v>
      </c>
      <c r="D43">
        <v>1</v>
      </c>
      <c r="E43">
        <v>0</v>
      </c>
      <c r="F43">
        <v>0.5</v>
      </c>
      <c r="G43">
        <v>0.5</v>
      </c>
      <c r="H43">
        <v>0.25</v>
      </c>
      <c r="I43">
        <v>0</v>
      </c>
      <c r="J43">
        <f>C43*20+D43*13+E43*13+F43*13.5+G43*13.5+H43*13.5+I43*13.5</f>
        <v>49.875</v>
      </c>
      <c r="K43">
        <f>ROUND(J43,0)</f>
        <v>50</v>
      </c>
    </row>
    <row r="44" spans="1:12" x14ac:dyDescent="0.3">
      <c r="A44" s="2" t="s">
        <v>200</v>
      </c>
      <c r="B44" s="2" t="s">
        <v>201</v>
      </c>
      <c r="C44">
        <v>1</v>
      </c>
      <c r="D44">
        <v>0.5</v>
      </c>
      <c r="E44">
        <v>0</v>
      </c>
      <c r="F44">
        <v>0.5</v>
      </c>
      <c r="G44">
        <v>0.7</v>
      </c>
      <c r="H44">
        <v>0.3</v>
      </c>
      <c r="I44">
        <v>0.3</v>
      </c>
      <c r="J44">
        <f>C44*20+D44*13+E44*13+F44*13.5+G44*13.5+H44*13.5+I44*13.5</f>
        <v>50.8</v>
      </c>
      <c r="K44">
        <f>ROUND(J44,0)</f>
        <v>51</v>
      </c>
    </row>
    <row r="45" spans="1:12" x14ac:dyDescent="0.3">
      <c r="A45" s="2" t="s">
        <v>209</v>
      </c>
      <c r="B45" s="2" t="s">
        <v>210</v>
      </c>
      <c r="C45">
        <v>1</v>
      </c>
      <c r="D45">
        <v>1</v>
      </c>
      <c r="E45">
        <v>0</v>
      </c>
      <c r="F45">
        <v>0.5</v>
      </c>
      <c r="G45">
        <v>0.3</v>
      </c>
      <c r="H45">
        <v>0.4</v>
      </c>
      <c r="I45">
        <v>0.3</v>
      </c>
      <c r="J45">
        <f>C45*20+D45*13+E45*13+F45*13.5+G45*13.5+H45*13.5+I45*13.5</f>
        <v>53.249999999999993</v>
      </c>
      <c r="K45">
        <f>ROUND(J45,0)</f>
        <v>53</v>
      </c>
    </row>
    <row r="46" spans="1:12" x14ac:dyDescent="0.3">
      <c r="A46" s="2" t="s">
        <v>55</v>
      </c>
      <c r="B46" s="2" t="s">
        <v>56</v>
      </c>
      <c r="C46">
        <v>1</v>
      </c>
      <c r="D46">
        <v>1</v>
      </c>
      <c r="E46">
        <v>0</v>
      </c>
      <c r="F46">
        <v>1</v>
      </c>
      <c r="G46">
        <v>0.4</v>
      </c>
      <c r="H46">
        <v>0.3</v>
      </c>
      <c r="I46">
        <v>0</v>
      </c>
      <c r="J46">
        <f>C46*20+D46*13+E46*13+F46*13.5+G46*13.5+H46*13.5+I46*13.5</f>
        <v>55.949999999999996</v>
      </c>
      <c r="K46">
        <f>ROUND(J46,0)</f>
        <v>56</v>
      </c>
    </row>
    <row r="47" spans="1:12" x14ac:dyDescent="0.3">
      <c r="A47" s="2" t="s">
        <v>224</v>
      </c>
      <c r="B47" s="2" t="s">
        <v>225</v>
      </c>
      <c r="C47">
        <v>1</v>
      </c>
      <c r="D47">
        <v>1</v>
      </c>
      <c r="E47">
        <v>0</v>
      </c>
      <c r="F47">
        <v>1</v>
      </c>
      <c r="G47">
        <v>0.7</v>
      </c>
      <c r="H47">
        <v>0</v>
      </c>
      <c r="I47">
        <v>0</v>
      </c>
      <c r="J47">
        <f>C47*20+D47*13+E47*13+F47*13.5+G47*13.5+H47*13.5+I47*13.5</f>
        <v>55.95</v>
      </c>
      <c r="K47">
        <f>ROUND(J47,0)</f>
        <v>56</v>
      </c>
    </row>
    <row r="48" spans="1:12" x14ac:dyDescent="0.3">
      <c r="A48" s="2" t="s">
        <v>244</v>
      </c>
      <c r="B48" s="2" t="s">
        <v>245</v>
      </c>
      <c r="C48">
        <v>1</v>
      </c>
      <c r="D48">
        <v>0.5</v>
      </c>
      <c r="E48">
        <v>0</v>
      </c>
      <c r="F48">
        <v>0.5</v>
      </c>
      <c r="G48">
        <v>0.8</v>
      </c>
      <c r="H48">
        <v>0.4</v>
      </c>
      <c r="I48">
        <v>0.5</v>
      </c>
      <c r="J48">
        <f>C48*20+D48*13+E48*13+F48*13.5+G48*13.5+H48*13.5+I48*13.5</f>
        <v>56.199999999999996</v>
      </c>
      <c r="K48">
        <f>ROUND(J48,0)</f>
        <v>56</v>
      </c>
    </row>
    <row r="49" spans="1:12" x14ac:dyDescent="0.3">
      <c r="A49" s="2" t="s">
        <v>226</v>
      </c>
      <c r="B49" s="2" t="s">
        <v>227</v>
      </c>
      <c r="C49">
        <v>0</v>
      </c>
      <c r="D49">
        <v>1</v>
      </c>
      <c r="E49">
        <v>1</v>
      </c>
      <c r="F49">
        <v>1</v>
      </c>
      <c r="G49">
        <v>1</v>
      </c>
      <c r="H49">
        <v>0.3</v>
      </c>
      <c r="I49">
        <v>0</v>
      </c>
      <c r="J49">
        <f>C49*20+D49*13+E49*13+F49*13.5+G49*13.5+H49*13.5+I49*13.5</f>
        <v>57.05</v>
      </c>
      <c r="K49">
        <f>ROUND(J49,0)</f>
        <v>57</v>
      </c>
    </row>
    <row r="50" spans="1:12" x14ac:dyDescent="0.3">
      <c r="A50" s="2" t="s">
        <v>22</v>
      </c>
      <c r="B50" s="2" t="s">
        <v>23</v>
      </c>
      <c r="C50">
        <v>1</v>
      </c>
      <c r="D50">
        <v>1</v>
      </c>
      <c r="E50">
        <v>0</v>
      </c>
      <c r="F50">
        <v>0.5</v>
      </c>
      <c r="G50">
        <v>0.7</v>
      </c>
      <c r="H50">
        <v>0.25</v>
      </c>
      <c r="I50">
        <v>0.4</v>
      </c>
      <c r="J50">
        <f>C50*20+D50*13+E50*13+F50*13.5+G50*13.5+H50*13.5+I50*13.5</f>
        <v>57.975000000000001</v>
      </c>
      <c r="K50">
        <f>ROUND(J50,0)</f>
        <v>58</v>
      </c>
    </row>
    <row r="51" spans="1:12" x14ac:dyDescent="0.3">
      <c r="A51" s="2" t="s">
        <v>26</v>
      </c>
      <c r="B51" s="2" t="s">
        <v>27</v>
      </c>
      <c r="C51">
        <v>1</v>
      </c>
      <c r="D51">
        <v>0.5</v>
      </c>
      <c r="E51">
        <v>0</v>
      </c>
      <c r="F51">
        <v>1</v>
      </c>
      <c r="G51">
        <v>0.6</v>
      </c>
      <c r="H51">
        <v>0.3</v>
      </c>
      <c r="I51">
        <v>0.4</v>
      </c>
      <c r="J51">
        <f>C51*20+D51*13+E51*13+F51*13.5+G51*13.5+H51*13.5+I51*13.5</f>
        <v>57.55</v>
      </c>
      <c r="K51">
        <f>ROUND(J51,0)</f>
        <v>58</v>
      </c>
      <c r="L51" t="s">
        <v>250</v>
      </c>
    </row>
    <row r="52" spans="1:12" x14ac:dyDescent="0.3">
      <c r="A52" s="4" t="s">
        <v>106</v>
      </c>
      <c r="B52" s="4" t="s">
        <v>107</v>
      </c>
      <c r="C52">
        <v>1</v>
      </c>
      <c r="D52">
        <v>0.5</v>
      </c>
      <c r="E52">
        <v>0</v>
      </c>
      <c r="F52">
        <v>1</v>
      </c>
      <c r="G52">
        <v>1</v>
      </c>
      <c r="H52">
        <v>0.2</v>
      </c>
      <c r="I52">
        <v>0.2</v>
      </c>
      <c r="J52">
        <f>C52*20+D52*13+E52*13+F52*13.5+G52*13.5+H52*13.5+I52*13.5</f>
        <v>58.900000000000006</v>
      </c>
      <c r="K52">
        <f>ROUND(J52,0)</f>
        <v>59</v>
      </c>
    </row>
    <row r="53" spans="1:12" x14ac:dyDescent="0.3">
      <c r="A53" s="2" t="s">
        <v>206</v>
      </c>
      <c r="B53" s="2" t="s">
        <v>208</v>
      </c>
      <c r="C53">
        <v>1</v>
      </c>
      <c r="D53">
        <v>0.5</v>
      </c>
      <c r="E53">
        <v>1</v>
      </c>
      <c r="F53">
        <v>0.5</v>
      </c>
      <c r="G53">
        <v>0.3</v>
      </c>
      <c r="H53">
        <v>0.4</v>
      </c>
      <c r="I53">
        <v>0.3</v>
      </c>
      <c r="J53">
        <f>C53*20+D53*13+E53*13+F53*13.5+G53*13.5+H53*13.5+I53*13.5</f>
        <v>59.749999999999993</v>
      </c>
      <c r="K53">
        <f>ROUND(J53,0)</f>
        <v>60</v>
      </c>
    </row>
    <row r="54" spans="1:12" x14ac:dyDescent="0.3">
      <c r="A54" s="2" t="s">
        <v>44</v>
      </c>
      <c r="B54" s="2" t="s">
        <v>31</v>
      </c>
      <c r="C54">
        <v>1</v>
      </c>
      <c r="D54">
        <v>1</v>
      </c>
      <c r="E54">
        <v>0</v>
      </c>
      <c r="F54">
        <v>1</v>
      </c>
      <c r="G54">
        <v>1</v>
      </c>
      <c r="H54">
        <v>0</v>
      </c>
      <c r="I54">
        <v>0.1</v>
      </c>
      <c r="J54">
        <f>C54*20+D54*13+E54*13+F54*13.5+G54*13.5+H54*13.5+I54*13.5</f>
        <v>61.35</v>
      </c>
      <c r="K54">
        <f>ROUND(J54,0)</f>
        <v>61</v>
      </c>
      <c r="L54" t="s">
        <v>253</v>
      </c>
    </row>
    <row r="55" spans="1:12" x14ac:dyDescent="0.3">
      <c r="A55" s="2" t="s">
        <v>110</v>
      </c>
      <c r="B55" s="2" t="s">
        <v>111</v>
      </c>
      <c r="C55">
        <v>1</v>
      </c>
      <c r="D55">
        <v>1</v>
      </c>
      <c r="E55">
        <v>0</v>
      </c>
      <c r="F55">
        <v>1</v>
      </c>
      <c r="G55">
        <v>1</v>
      </c>
      <c r="H55">
        <v>0.1</v>
      </c>
      <c r="I55">
        <v>0</v>
      </c>
      <c r="J55">
        <f>C55*20+D55*13+E55*13+F55*13.5+G55*13.5+H55*13.5+I55*13.5</f>
        <v>61.35</v>
      </c>
      <c r="K55">
        <f>ROUND(J55,0)</f>
        <v>61</v>
      </c>
    </row>
    <row r="56" spans="1:12" x14ac:dyDescent="0.3">
      <c r="A56" s="2" t="s">
        <v>170</v>
      </c>
      <c r="B56" s="2" t="s">
        <v>171</v>
      </c>
      <c r="C56">
        <v>1</v>
      </c>
      <c r="D56">
        <v>1</v>
      </c>
      <c r="E56">
        <v>0</v>
      </c>
      <c r="F56">
        <v>1</v>
      </c>
      <c r="G56">
        <v>1</v>
      </c>
      <c r="H56">
        <v>0.1</v>
      </c>
      <c r="I56">
        <v>0</v>
      </c>
      <c r="J56">
        <f>C56*20+D56*13+E56*13+F56*13.5+G56*13.5+H56*13.5+I56*13.5</f>
        <v>61.35</v>
      </c>
      <c r="K56">
        <f>ROUND(J56,0)</f>
        <v>61</v>
      </c>
    </row>
    <row r="57" spans="1:12" x14ac:dyDescent="0.3">
      <c r="A57" s="2" t="s">
        <v>68</v>
      </c>
      <c r="B57" s="2" t="s">
        <v>69</v>
      </c>
      <c r="C57">
        <v>1</v>
      </c>
      <c r="D57">
        <v>1</v>
      </c>
      <c r="E57">
        <v>0</v>
      </c>
      <c r="F57">
        <v>1</v>
      </c>
      <c r="G57">
        <v>1</v>
      </c>
      <c r="H57">
        <v>0.1</v>
      </c>
      <c r="I57">
        <v>0.1</v>
      </c>
      <c r="J57">
        <f>C57*20+D57*13+E57*13+F57*13.5+G57*13.5+H57*13.5+I57*13.5</f>
        <v>62.7</v>
      </c>
      <c r="K57">
        <f>ROUND(J57,0)</f>
        <v>63</v>
      </c>
    </row>
    <row r="58" spans="1:12" x14ac:dyDescent="0.3">
      <c r="A58" s="2" t="s">
        <v>143</v>
      </c>
      <c r="B58" s="2" t="s">
        <v>144</v>
      </c>
      <c r="C58">
        <v>1</v>
      </c>
      <c r="D58">
        <v>1</v>
      </c>
      <c r="E58">
        <v>0</v>
      </c>
      <c r="F58">
        <v>1</v>
      </c>
      <c r="G58">
        <v>0.6</v>
      </c>
      <c r="H58">
        <v>0.3</v>
      </c>
      <c r="I58">
        <v>0.3</v>
      </c>
      <c r="J58">
        <f>C58*20+D58*13+E58*13+F58*13.5+G58*13.5+H58*13.5+I58*13.5</f>
        <v>62.699999999999996</v>
      </c>
      <c r="K58">
        <f>ROUND(J58,0)</f>
        <v>63</v>
      </c>
    </row>
    <row r="59" spans="1:12" x14ac:dyDescent="0.3">
      <c r="A59" s="2" t="s">
        <v>197</v>
      </c>
      <c r="B59" s="2" t="s">
        <v>163</v>
      </c>
      <c r="C59">
        <v>1</v>
      </c>
      <c r="D59">
        <v>1</v>
      </c>
      <c r="E59">
        <v>0</v>
      </c>
      <c r="F59">
        <v>1</v>
      </c>
      <c r="G59">
        <v>1</v>
      </c>
      <c r="H59">
        <v>0.3</v>
      </c>
      <c r="I59">
        <v>0</v>
      </c>
      <c r="J59">
        <f>C59*20+D59*13+E59*13+F59*13.5+G59*13.5+H59*13.5+I59*13.5</f>
        <v>64.05</v>
      </c>
      <c r="K59">
        <f>ROUND(J59,0)</f>
        <v>64</v>
      </c>
    </row>
    <row r="60" spans="1:12" x14ac:dyDescent="0.3">
      <c r="A60" s="2" t="s">
        <v>45</v>
      </c>
      <c r="B60" s="2" t="s">
        <v>46</v>
      </c>
      <c r="C60">
        <v>1</v>
      </c>
      <c r="D60">
        <v>1</v>
      </c>
      <c r="E60">
        <v>0</v>
      </c>
      <c r="F60">
        <v>1</v>
      </c>
      <c r="G60">
        <v>0.3</v>
      </c>
      <c r="H60">
        <v>0.4</v>
      </c>
      <c r="I60">
        <v>0.8</v>
      </c>
      <c r="J60">
        <f>C60*20+D60*13+E60*13+F60*13.5+G60*13.5+H60*13.5+I60*13.5</f>
        <v>66.75</v>
      </c>
      <c r="K60">
        <f>ROUND(J60,0)</f>
        <v>67</v>
      </c>
    </row>
    <row r="61" spans="1:12" x14ac:dyDescent="0.3">
      <c r="A61" s="2" t="s">
        <v>211</v>
      </c>
      <c r="B61" s="2" t="s">
        <v>212</v>
      </c>
      <c r="C61">
        <v>1</v>
      </c>
      <c r="D61">
        <v>1</v>
      </c>
      <c r="E61">
        <v>0</v>
      </c>
      <c r="F61">
        <v>1</v>
      </c>
      <c r="G61">
        <v>1</v>
      </c>
      <c r="H61">
        <v>0.4</v>
      </c>
      <c r="I61">
        <v>0.1</v>
      </c>
      <c r="J61">
        <f>C61*20+D61*13+E61*13+F61*13.5+G61*13.5+H61*13.5+I61*13.5</f>
        <v>66.75</v>
      </c>
      <c r="K61">
        <f>ROUND(J61,0)</f>
        <v>67</v>
      </c>
    </row>
    <row r="62" spans="1:12" x14ac:dyDescent="0.3">
      <c r="A62" s="2" t="s">
        <v>92</v>
      </c>
      <c r="B62" s="2" t="s">
        <v>93</v>
      </c>
      <c r="C62">
        <v>1</v>
      </c>
      <c r="D62">
        <v>0.5</v>
      </c>
      <c r="E62">
        <v>0</v>
      </c>
      <c r="F62">
        <v>1</v>
      </c>
      <c r="G62">
        <v>0.8</v>
      </c>
      <c r="H62">
        <v>0.5</v>
      </c>
      <c r="I62">
        <v>0.8</v>
      </c>
      <c r="J62">
        <f>C62*20+D62*13+E62*13+F62*13.5+G62*13.5+H62*13.5+I62*13.5</f>
        <v>68.349999999999994</v>
      </c>
      <c r="K62">
        <f>ROUND(J62,0)</f>
        <v>68</v>
      </c>
    </row>
    <row r="63" spans="1:12" x14ac:dyDescent="0.3">
      <c r="A63" s="2" t="s">
        <v>149</v>
      </c>
      <c r="B63" s="2" t="s">
        <v>150</v>
      </c>
      <c r="C63">
        <v>1</v>
      </c>
      <c r="D63">
        <v>1</v>
      </c>
      <c r="E63">
        <v>0</v>
      </c>
      <c r="F63">
        <v>1</v>
      </c>
      <c r="G63">
        <v>0.6</v>
      </c>
      <c r="H63">
        <v>0.4</v>
      </c>
      <c r="I63">
        <v>0.6</v>
      </c>
      <c r="J63">
        <f>C63*20+D63*13+E63*13+F63*13.5+G63*13.5+H63*13.5+I63*13.5</f>
        <v>68.099999999999994</v>
      </c>
      <c r="K63">
        <f>ROUND(J63,0)</f>
        <v>68</v>
      </c>
    </row>
    <row r="64" spans="1:12" x14ac:dyDescent="0.3">
      <c r="A64" s="2" t="s">
        <v>218</v>
      </c>
      <c r="B64" s="2" t="s">
        <v>219</v>
      </c>
      <c r="C64">
        <v>1</v>
      </c>
      <c r="D64">
        <v>1</v>
      </c>
      <c r="E64">
        <v>0</v>
      </c>
      <c r="F64">
        <v>1</v>
      </c>
      <c r="G64">
        <v>1</v>
      </c>
      <c r="H64">
        <v>0.3</v>
      </c>
      <c r="I64">
        <v>0.3</v>
      </c>
      <c r="J64">
        <f>C64*20+D64*13+E64*13+F64*13.5+G64*13.5+H64*13.5+I64*13.5</f>
        <v>68.099999999999994</v>
      </c>
      <c r="K64">
        <f>ROUND(J64,0)</f>
        <v>68</v>
      </c>
    </row>
    <row r="65" spans="1:12" x14ac:dyDescent="0.3">
      <c r="A65" s="2" t="s">
        <v>98</v>
      </c>
      <c r="B65" s="2" t="s">
        <v>99</v>
      </c>
      <c r="C65">
        <v>1</v>
      </c>
      <c r="D65">
        <v>0</v>
      </c>
      <c r="E65">
        <v>1</v>
      </c>
      <c r="F65">
        <v>1</v>
      </c>
      <c r="G65">
        <v>1</v>
      </c>
      <c r="H65">
        <v>0.7</v>
      </c>
      <c r="I65">
        <v>0</v>
      </c>
      <c r="J65">
        <f>C65*20+D65*13+E65*13+F65*13.5+G65*13.5+H65*13.5+I65*13.5</f>
        <v>69.45</v>
      </c>
      <c r="K65">
        <f>ROUND(J65,0)</f>
        <v>69</v>
      </c>
      <c r="L65" t="s">
        <v>254</v>
      </c>
    </row>
    <row r="66" spans="1:12" x14ac:dyDescent="0.3">
      <c r="A66" s="2" t="s">
        <v>145</v>
      </c>
      <c r="B66" s="2" t="s">
        <v>146</v>
      </c>
      <c r="C66">
        <v>1</v>
      </c>
      <c r="D66">
        <v>1</v>
      </c>
      <c r="E66">
        <v>0</v>
      </c>
      <c r="F66">
        <v>1</v>
      </c>
      <c r="G66">
        <v>0.6</v>
      </c>
      <c r="H66">
        <v>0.5</v>
      </c>
      <c r="I66">
        <v>0.6</v>
      </c>
      <c r="J66">
        <f>C66*20+D66*13+E66*13+F66*13.5+G66*13.5+H66*13.5+I66*13.5</f>
        <v>69.45</v>
      </c>
      <c r="K66">
        <f>ROUND(J66,0)</f>
        <v>69</v>
      </c>
      <c r="L66" t="s">
        <v>258</v>
      </c>
    </row>
    <row r="67" spans="1:12" x14ac:dyDescent="0.3">
      <c r="A67" s="2" t="s">
        <v>202</v>
      </c>
      <c r="B67" s="2" t="s">
        <v>203</v>
      </c>
      <c r="C67">
        <v>1</v>
      </c>
      <c r="D67">
        <v>1</v>
      </c>
      <c r="E67">
        <v>1</v>
      </c>
      <c r="F67">
        <v>1</v>
      </c>
      <c r="G67">
        <v>0.1</v>
      </c>
      <c r="H67">
        <v>0.3</v>
      </c>
      <c r="I67">
        <v>0.3</v>
      </c>
      <c r="J67">
        <f>C67*20+D67*13+E67*13+F67*13.5+G67*13.5+H67*13.5+I67*13.5</f>
        <v>68.95</v>
      </c>
      <c r="K67">
        <f>ROUND(J67,0)</f>
        <v>69</v>
      </c>
    </row>
    <row r="68" spans="1:12" x14ac:dyDescent="0.3">
      <c r="A68" s="2" t="s">
        <v>240</v>
      </c>
      <c r="B68" s="2" t="s">
        <v>241</v>
      </c>
      <c r="C68">
        <v>1</v>
      </c>
      <c r="D68">
        <v>1</v>
      </c>
      <c r="E68">
        <v>0</v>
      </c>
      <c r="F68">
        <v>1</v>
      </c>
      <c r="G68">
        <v>0.6</v>
      </c>
      <c r="H68">
        <v>0.3</v>
      </c>
      <c r="I68">
        <v>0.8</v>
      </c>
      <c r="J68">
        <f>C68*20+D68*13+E68*13+F68*13.5+G68*13.5+H68*13.5+I68*13.5</f>
        <v>69.45</v>
      </c>
      <c r="K68">
        <f>ROUND(J68,0)</f>
        <v>69</v>
      </c>
    </row>
    <row r="69" spans="1:12" x14ac:dyDescent="0.3">
      <c r="A69" s="2" t="s">
        <v>172</v>
      </c>
      <c r="B69" s="2" t="s">
        <v>173</v>
      </c>
      <c r="C69">
        <v>1</v>
      </c>
      <c r="D69">
        <v>1</v>
      </c>
      <c r="E69">
        <v>1</v>
      </c>
      <c r="F69">
        <v>0.5</v>
      </c>
      <c r="G69">
        <v>0.5</v>
      </c>
      <c r="H69">
        <v>0.4</v>
      </c>
      <c r="I69">
        <v>0.4</v>
      </c>
      <c r="J69">
        <f>C69*20+D69*13+E69*13+F69*13.5+G69*13.5+H69*13.5+I69*13.5</f>
        <v>70.300000000000011</v>
      </c>
      <c r="K69">
        <f>ROUND(J69,0)</f>
        <v>70</v>
      </c>
    </row>
    <row r="70" spans="1:12" x14ac:dyDescent="0.3">
      <c r="A70" s="2" t="s">
        <v>134</v>
      </c>
      <c r="B70" s="2" t="s">
        <v>103</v>
      </c>
      <c r="C70">
        <v>1</v>
      </c>
      <c r="D70">
        <v>1</v>
      </c>
      <c r="E70">
        <v>0</v>
      </c>
      <c r="F70">
        <v>1</v>
      </c>
      <c r="G70">
        <v>1</v>
      </c>
      <c r="H70">
        <v>0.5</v>
      </c>
      <c r="I70">
        <v>0.4</v>
      </c>
      <c r="J70">
        <f>C70*20+D70*13+E70*13+F70*13.5+G70*13.5+H70*13.5+I70*13.5</f>
        <v>72.150000000000006</v>
      </c>
      <c r="K70">
        <f>ROUND(J70,0)</f>
        <v>72</v>
      </c>
      <c r="L70" t="s">
        <v>257</v>
      </c>
    </row>
    <row r="71" spans="1:12" x14ac:dyDescent="0.3">
      <c r="A71" s="2" t="s">
        <v>182</v>
      </c>
      <c r="B71" s="2" t="s">
        <v>175</v>
      </c>
      <c r="C71">
        <v>1</v>
      </c>
      <c r="D71">
        <v>0.5</v>
      </c>
      <c r="E71">
        <v>0</v>
      </c>
      <c r="F71">
        <v>1</v>
      </c>
      <c r="G71">
        <v>1</v>
      </c>
      <c r="H71">
        <v>0.8</v>
      </c>
      <c r="I71">
        <v>0.6</v>
      </c>
      <c r="J71">
        <f>C71*20+D71*13+E71*13+F71*13.5+G71*13.5+H71*13.5+I71*13.5</f>
        <v>72.399999999999991</v>
      </c>
      <c r="K71">
        <f>ROUND(J71,0)</f>
        <v>72</v>
      </c>
    </row>
    <row r="72" spans="1:12" x14ac:dyDescent="0.3">
      <c r="A72" s="2" t="s">
        <v>34</v>
      </c>
      <c r="B72" s="2" t="s">
        <v>35</v>
      </c>
      <c r="C72">
        <v>1</v>
      </c>
      <c r="D72">
        <v>0.5</v>
      </c>
      <c r="E72">
        <v>1</v>
      </c>
      <c r="F72">
        <v>1</v>
      </c>
      <c r="G72">
        <v>1</v>
      </c>
      <c r="H72">
        <v>0.3</v>
      </c>
      <c r="I72">
        <v>0.2</v>
      </c>
      <c r="J72">
        <f>C72*20+D72*13+E72*13+F72*13.5+G72*13.5+H72*13.5+I72*13.5</f>
        <v>73.25</v>
      </c>
      <c r="K72">
        <f>ROUND(J72,0)</f>
        <v>73</v>
      </c>
    </row>
    <row r="73" spans="1:12" x14ac:dyDescent="0.3">
      <c r="A73" s="2" t="s">
        <v>156</v>
      </c>
      <c r="B73" s="2" t="s">
        <v>157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0</v>
      </c>
      <c r="J73">
        <f>C73*20+D73*13+E73*13+F73*13.5+G73*13.5+H73*13.5+I73*13.5</f>
        <v>73</v>
      </c>
      <c r="K73">
        <f>ROUND(J73,0)</f>
        <v>73</v>
      </c>
    </row>
    <row r="74" spans="1:12" x14ac:dyDescent="0.3">
      <c r="A74" s="2" t="s">
        <v>174</v>
      </c>
      <c r="B74" s="2" t="s">
        <v>175</v>
      </c>
      <c r="C74">
        <v>1</v>
      </c>
      <c r="D74">
        <v>0.5</v>
      </c>
      <c r="E74">
        <v>0</v>
      </c>
      <c r="F74">
        <v>1</v>
      </c>
      <c r="G74">
        <v>1</v>
      </c>
      <c r="H74">
        <v>0.9</v>
      </c>
      <c r="I74">
        <v>0.6</v>
      </c>
      <c r="J74">
        <f>C74*20+D74*13+E74*13+F74*13.5+G74*13.5+H74*13.5+I74*13.5</f>
        <v>73.75</v>
      </c>
      <c r="K74">
        <f>ROUND(J74,0)</f>
        <v>74</v>
      </c>
    </row>
    <row r="75" spans="1:12" x14ac:dyDescent="0.3">
      <c r="A75" s="2" t="s">
        <v>195</v>
      </c>
      <c r="B75" s="2" t="s">
        <v>196</v>
      </c>
      <c r="C75">
        <v>1</v>
      </c>
      <c r="D75">
        <v>0.5</v>
      </c>
      <c r="E75">
        <v>0</v>
      </c>
      <c r="F75">
        <v>1</v>
      </c>
      <c r="G75">
        <v>1</v>
      </c>
      <c r="H75">
        <v>0.8</v>
      </c>
      <c r="I75">
        <v>0.7</v>
      </c>
      <c r="J75">
        <f>C75*20+D75*13+E75*13+F75*13.5+G75*13.5+H75*13.5+I75*13.5</f>
        <v>73.75</v>
      </c>
      <c r="K75">
        <f>ROUND(J75,0)</f>
        <v>74</v>
      </c>
    </row>
    <row r="76" spans="1:12" x14ac:dyDescent="0.3">
      <c r="A76" s="2" t="s">
        <v>215</v>
      </c>
      <c r="B76" s="2" t="s">
        <v>216</v>
      </c>
      <c r="C76">
        <v>1</v>
      </c>
      <c r="D76">
        <v>1</v>
      </c>
      <c r="E76">
        <v>0</v>
      </c>
      <c r="F76">
        <v>1</v>
      </c>
      <c r="G76">
        <v>1</v>
      </c>
      <c r="H76">
        <v>0.6</v>
      </c>
      <c r="I76">
        <v>0.4</v>
      </c>
      <c r="J76">
        <f>C76*20+D76*13+E76*13+F76*13.5+G76*13.5+H76*13.5+I76*13.5</f>
        <v>73.5</v>
      </c>
      <c r="K76">
        <f>ROUND(J76,0)</f>
        <v>74</v>
      </c>
    </row>
    <row r="77" spans="1:12" x14ac:dyDescent="0.3">
      <c r="A77" s="2" t="s">
        <v>119</v>
      </c>
      <c r="B77" s="2" t="s">
        <v>24</v>
      </c>
      <c r="C77">
        <v>1</v>
      </c>
      <c r="D77">
        <v>1</v>
      </c>
      <c r="E77">
        <v>0</v>
      </c>
      <c r="F77">
        <v>1</v>
      </c>
      <c r="G77">
        <v>1</v>
      </c>
      <c r="H77">
        <v>0.6</v>
      </c>
      <c r="I77">
        <v>0.5</v>
      </c>
      <c r="J77">
        <f>C77*20+D77*13+E77*13+F77*13.5+G77*13.5+H77*13.5+I77*13.5</f>
        <v>74.849999999999994</v>
      </c>
      <c r="K77">
        <f>ROUND(J77,0)</f>
        <v>75</v>
      </c>
    </row>
    <row r="78" spans="1:12" x14ac:dyDescent="0.3">
      <c r="A78" s="2" t="s">
        <v>237</v>
      </c>
      <c r="B78" s="2" t="s">
        <v>238</v>
      </c>
      <c r="C78">
        <v>1</v>
      </c>
      <c r="D78">
        <v>1</v>
      </c>
      <c r="E78">
        <v>0</v>
      </c>
      <c r="F78">
        <v>1</v>
      </c>
      <c r="G78">
        <v>1</v>
      </c>
      <c r="H78">
        <v>0.6</v>
      </c>
      <c r="I78">
        <v>0.5</v>
      </c>
      <c r="J78">
        <f>C78*20+D78*13+E78*13+F78*13.5+G78*13.5+H78*13.5+I78*13.5</f>
        <v>74.849999999999994</v>
      </c>
      <c r="K78">
        <f>ROUND(J78,0)</f>
        <v>75</v>
      </c>
    </row>
    <row r="79" spans="1:12" x14ac:dyDescent="0.3">
      <c r="A79" s="2" t="s">
        <v>102</v>
      </c>
      <c r="B79" s="2" t="s">
        <v>103</v>
      </c>
      <c r="C79">
        <v>1</v>
      </c>
      <c r="D79">
        <v>1</v>
      </c>
      <c r="E79">
        <v>0</v>
      </c>
      <c r="F79">
        <v>1</v>
      </c>
      <c r="G79">
        <v>1</v>
      </c>
      <c r="H79">
        <v>0.5</v>
      </c>
      <c r="I79">
        <v>0.7</v>
      </c>
      <c r="J79">
        <f>C79*20+D79*13+E79*13+F79*13.5+G79*13.5+H79*13.5+I79*13.5</f>
        <v>76.2</v>
      </c>
      <c r="K79">
        <f>ROUND(J79,0)</f>
        <v>76</v>
      </c>
    </row>
    <row r="80" spans="1:12" x14ac:dyDescent="0.3">
      <c r="A80" s="2" t="s">
        <v>232</v>
      </c>
      <c r="B80" s="2" t="s">
        <v>233</v>
      </c>
      <c r="C80">
        <v>1</v>
      </c>
      <c r="D80">
        <v>1</v>
      </c>
      <c r="E80">
        <v>0</v>
      </c>
      <c r="F80">
        <v>1</v>
      </c>
      <c r="G80">
        <v>0.7</v>
      </c>
      <c r="H80">
        <v>0.7</v>
      </c>
      <c r="I80">
        <v>0.8</v>
      </c>
      <c r="J80">
        <f>C80*20+D80*13+E80*13+F80*13.5+G80*13.5+H80*13.5+I80*13.5</f>
        <v>76.2</v>
      </c>
      <c r="K80">
        <f>ROUND(J80,0)</f>
        <v>76</v>
      </c>
    </row>
    <row r="81" spans="1:12" x14ac:dyDescent="0.3">
      <c r="A81" s="2" t="s">
        <v>66</v>
      </c>
      <c r="B81" s="2" t="s">
        <v>67</v>
      </c>
      <c r="C81">
        <v>1</v>
      </c>
      <c r="D81">
        <v>1</v>
      </c>
      <c r="E81">
        <v>0</v>
      </c>
      <c r="F81">
        <v>1</v>
      </c>
      <c r="G81">
        <v>1</v>
      </c>
      <c r="H81">
        <v>0.8</v>
      </c>
      <c r="I81">
        <v>0.6</v>
      </c>
      <c r="J81">
        <f>C81*20+D81*13+E81*13+F81*13.5+G81*13.5+H81*13.5+I81*13.5</f>
        <v>78.899999999999991</v>
      </c>
      <c r="K81">
        <f>ROUND(J81,0)</f>
        <v>79</v>
      </c>
    </row>
    <row r="82" spans="1:12" x14ac:dyDescent="0.3">
      <c r="A82" s="2" t="s">
        <v>96</v>
      </c>
      <c r="B82" s="2" t="s">
        <v>97</v>
      </c>
      <c r="C82">
        <v>1</v>
      </c>
      <c r="D82">
        <v>1</v>
      </c>
      <c r="E82">
        <v>1</v>
      </c>
      <c r="F82">
        <v>1</v>
      </c>
      <c r="G82">
        <v>0.3</v>
      </c>
      <c r="H82">
        <v>0.7</v>
      </c>
      <c r="I82">
        <v>0.5</v>
      </c>
      <c r="J82">
        <f>C82*20+D82*13+E82*13+F82*13.5+G82*13.5+H82*13.5+I82*13.5</f>
        <v>79.75</v>
      </c>
      <c r="K82">
        <f>ROUND(J82,0)</f>
        <v>80</v>
      </c>
    </row>
    <row r="83" spans="1:12" x14ac:dyDescent="0.3">
      <c r="A83" s="2" t="s">
        <v>128</v>
      </c>
      <c r="B83" s="2" t="s">
        <v>129</v>
      </c>
      <c r="C83">
        <v>1</v>
      </c>
      <c r="D83">
        <v>1</v>
      </c>
      <c r="E83">
        <v>1</v>
      </c>
      <c r="F83">
        <v>1</v>
      </c>
      <c r="G83">
        <v>1</v>
      </c>
      <c r="H83">
        <v>0.5</v>
      </c>
      <c r="I83">
        <v>0</v>
      </c>
      <c r="J83">
        <f>C83*20+D83*13+E83*13+F83*13.5+G83*13.5+H83*13.5+I83*13.5</f>
        <v>79.75</v>
      </c>
      <c r="K83">
        <f>ROUND(J83,0)</f>
        <v>80</v>
      </c>
    </row>
    <row r="84" spans="1:12" x14ac:dyDescent="0.3">
      <c r="A84" s="2" t="s">
        <v>135</v>
      </c>
      <c r="B84" s="2" t="s">
        <v>136</v>
      </c>
      <c r="C84">
        <v>1</v>
      </c>
      <c r="D84">
        <v>0.5</v>
      </c>
      <c r="E84">
        <v>1</v>
      </c>
      <c r="F84">
        <v>1</v>
      </c>
      <c r="G84">
        <v>0.3</v>
      </c>
      <c r="H84">
        <v>0.9</v>
      </c>
      <c r="I84">
        <v>0.9</v>
      </c>
      <c r="J84">
        <f>C84*20+D84*13+E84*13+F84*13.5+G84*13.5+H84*13.5+I84*13.5</f>
        <v>81.350000000000009</v>
      </c>
      <c r="K84">
        <f>ROUND(J84,0)</f>
        <v>81</v>
      </c>
    </row>
    <row r="85" spans="1:12" x14ac:dyDescent="0.3">
      <c r="A85" s="2" t="s">
        <v>220</v>
      </c>
      <c r="B85" s="2" t="s">
        <v>221</v>
      </c>
      <c r="C85">
        <v>1</v>
      </c>
      <c r="D85">
        <v>1</v>
      </c>
      <c r="E85">
        <v>0</v>
      </c>
      <c r="F85">
        <v>1</v>
      </c>
      <c r="G85">
        <v>1</v>
      </c>
      <c r="H85">
        <v>0.7</v>
      </c>
      <c r="I85">
        <v>0.9</v>
      </c>
      <c r="J85">
        <f>C85*20+D85*13+E85*13+F85*13.5+G85*13.5+H85*13.5+I85*13.5</f>
        <v>81.600000000000009</v>
      </c>
      <c r="K85">
        <f>ROUND(J85,0)</f>
        <v>82</v>
      </c>
    </row>
    <row r="86" spans="1:12" x14ac:dyDescent="0.3">
      <c r="A86" s="2" t="s">
        <v>28</v>
      </c>
      <c r="B86" s="2" t="s">
        <v>29</v>
      </c>
      <c r="C86">
        <v>1</v>
      </c>
      <c r="D86">
        <v>1</v>
      </c>
      <c r="E86">
        <v>0</v>
      </c>
      <c r="F86">
        <v>1</v>
      </c>
      <c r="G86">
        <v>1</v>
      </c>
      <c r="H86">
        <v>0.8</v>
      </c>
      <c r="I86">
        <v>0.9</v>
      </c>
      <c r="J86">
        <f>C86*20+D86*13+E86*13+F86*13.5+G86*13.5+H86*13.5+I86*13.5</f>
        <v>82.95</v>
      </c>
      <c r="K86">
        <f>ROUND(J86,0)</f>
        <v>83</v>
      </c>
      <c r="L86" t="s">
        <v>249</v>
      </c>
    </row>
    <row r="87" spans="1:12" x14ac:dyDescent="0.3">
      <c r="A87" s="2" t="s">
        <v>191</v>
      </c>
      <c r="B87" s="2" t="s">
        <v>192</v>
      </c>
      <c r="C87">
        <v>1</v>
      </c>
      <c r="D87">
        <v>0</v>
      </c>
      <c r="E87">
        <v>1</v>
      </c>
      <c r="F87">
        <v>1</v>
      </c>
      <c r="G87">
        <v>1</v>
      </c>
      <c r="H87">
        <v>0.9</v>
      </c>
      <c r="I87">
        <v>0.8</v>
      </c>
      <c r="J87">
        <f>C87*20+D87*13+E87*13+F87*13.5+G87*13.5+H87*13.5+I87*13.5</f>
        <v>82.95</v>
      </c>
      <c r="K87">
        <f>ROUND(J87,0)</f>
        <v>83</v>
      </c>
    </row>
    <row r="88" spans="1:12" x14ac:dyDescent="0.3">
      <c r="A88" s="2" t="s">
        <v>137</v>
      </c>
      <c r="B88" s="2" t="s">
        <v>138</v>
      </c>
      <c r="C88">
        <v>1</v>
      </c>
      <c r="D88">
        <v>1</v>
      </c>
      <c r="E88">
        <v>1</v>
      </c>
      <c r="F88">
        <v>1</v>
      </c>
      <c r="G88">
        <v>1</v>
      </c>
      <c r="H88">
        <v>0.8</v>
      </c>
      <c r="I88">
        <v>0</v>
      </c>
      <c r="J88">
        <f>C88*20+D88*13+E88*13+F88*13.5+G88*13.5+H88*13.5+I88*13.5</f>
        <v>83.8</v>
      </c>
      <c r="K88">
        <f>ROUND(J88,0)</f>
        <v>84</v>
      </c>
    </row>
    <row r="89" spans="1:12" x14ac:dyDescent="0.3">
      <c r="A89" s="2" t="s">
        <v>162</v>
      </c>
      <c r="B89" s="2" t="s">
        <v>163</v>
      </c>
      <c r="C89">
        <v>1</v>
      </c>
      <c r="D89">
        <v>1</v>
      </c>
      <c r="E89">
        <v>1</v>
      </c>
      <c r="F89">
        <v>1</v>
      </c>
      <c r="G89">
        <v>0.9</v>
      </c>
      <c r="H89">
        <v>0.4</v>
      </c>
      <c r="I89">
        <v>0.5</v>
      </c>
      <c r="J89">
        <f>C89*20+D89*13+E89*13+F89*13.5+G89*13.5+H89*13.5+I89*13.5</f>
        <v>83.800000000000011</v>
      </c>
      <c r="K89">
        <f>ROUND(J89,0)</f>
        <v>84</v>
      </c>
      <c r="L89" t="s">
        <v>260</v>
      </c>
    </row>
    <row r="90" spans="1:12" x14ac:dyDescent="0.3">
      <c r="A90" s="2" t="s">
        <v>239</v>
      </c>
      <c r="B90" s="2" t="s">
        <v>163</v>
      </c>
      <c r="C90">
        <v>1</v>
      </c>
      <c r="D90">
        <v>1</v>
      </c>
      <c r="E90">
        <v>1</v>
      </c>
      <c r="F90">
        <v>0.4</v>
      </c>
      <c r="G90">
        <v>1</v>
      </c>
      <c r="H90">
        <v>1</v>
      </c>
      <c r="I90">
        <v>0.4</v>
      </c>
      <c r="J90">
        <f>C90*20+D90*13+E90*13+F90*13.5+G90*13.5+H90*13.5+I90*13.5</f>
        <v>83.800000000000011</v>
      </c>
      <c r="K90">
        <f>ROUND(J90,0)</f>
        <v>84</v>
      </c>
    </row>
    <row r="91" spans="1:12" x14ac:dyDescent="0.3">
      <c r="A91" s="2" t="s">
        <v>112</v>
      </c>
      <c r="B91" s="2" t="s">
        <v>113</v>
      </c>
      <c r="C91">
        <v>1</v>
      </c>
      <c r="D91">
        <v>1</v>
      </c>
      <c r="E91">
        <v>1</v>
      </c>
      <c r="F91">
        <v>1</v>
      </c>
      <c r="G91">
        <v>0.8</v>
      </c>
      <c r="H91">
        <v>0.6</v>
      </c>
      <c r="I91">
        <v>0.5</v>
      </c>
      <c r="J91">
        <f>C91*20+D91*13+E91*13+F91*13.5+G91*13.5+H91*13.5+I91*13.5</f>
        <v>85.149999999999991</v>
      </c>
      <c r="K91">
        <f>ROUND(J91,0)</f>
        <v>85</v>
      </c>
    </row>
    <row r="92" spans="1:12" x14ac:dyDescent="0.3">
      <c r="A92" s="4" t="s">
        <v>36</v>
      </c>
      <c r="B92" s="4" t="s">
        <v>37</v>
      </c>
      <c r="C92">
        <v>1</v>
      </c>
      <c r="D92">
        <v>1</v>
      </c>
      <c r="E92">
        <v>1</v>
      </c>
      <c r="F92">
        <v>1</v>
      </c>
      <c r="G92">
        <v>1</v>
      </c>
      <c r="H92">
        <v>0.34</v>
      </c>
      <c r="I92">
        <v>0.6</v>
      </c>
      <c r="J92">
        <f>C92*20+D92*13+E92*13+F92*13.5+G92*13.5+H92*13.5+I92*13.5</f>
        <v>85.69</v>
      </c>
      <c r="K92">
        <f>ROUND(J92,0)</f>
        <v>86</v>
      </c>
      <c r="L92" t="s">
        <v>251</v>
      </c>
    </row>
    <row r="93" spans="1:12" x14ac:dyDescent="0.3">
      <c r="A93" s="2" t="s">
        <v>125</v>
      </c>
      <c r="B93" s="2" t="s">
        <v>79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f>C93*20+D93*13+E93*13+F93*13.5+G93*13.5+H93*13.5+I93*13.5</f>
        <v>86.5</v>
      </c>
      <c r="K93">
        <f>ROUND(J93,0)</f>
        <v>87</v>
      </c>
    </row>
    <row r="94" spans="1:12" x14ac:dyDescent="0.3">
      <c r="A94" s="2" t="s">
        <v>222</v>
      </c>
      <c r="B94" s="2" t="s">
        <v>223</v>
      </c>
      <c r="C94">
        <v>1</v>
      </c>
      <c r="D94">
        <v>1</v>
      </c>
      <c r="E94">
        <v>1</v>
      </c>
      <c r="F94">
        <v>1</v>
      </c>
      <c r="G94">
        <v>0.6</v>
      </c>
      <c r="H94">
        <v>0.8</v>
      </c>
      <c r="I94">
        <v>0.7</v>
      </c>
      <c r="J94">
        <f>C94*20+D94*13+E94*13+F94*13.5+G94*13.5+H94*13.5+I94*13.5</f>
        <v>87.85</v>
      </c>
      <c r="K94">
        <f>ROUND(J94,0)</f>
        <v>88</v>
      </c>
      <c r="L94" t="s">
        <v>263</v>
      </c>
    </row>
    <row r="95" spans="1:12" x14ac:dyDescent="0.3">
      <c r="A95" s="2" t="s">
        <v>178</v>
      </c>
      <c r="B95" s="2" t="s">
        <v>179</v>
      </c>
      <c r="C95">
        <v>1</v>
      </c>
      <c r="D95">
        <v>0.5</v>
      </c>
      <c r="E95">
        <v>1</v>
      </c>
      <c r="F95">
        <v>1</v>
      </c>
      <c r="G95">
        <v>1</v>
      </c>
      <c r="H95">
        <v>1</v>
      </c>
      <c r="I95">
        <v>0.7</v>
      </c>
      <c r="J95">
        <f>C95*20+D95*13+E95*13+F95*13.5+G95*13.5+H95*13.5+I95*13.5</f>
        <v>89.45</v>
      </c>
      <c r="K95">
        <f>ROUND(J95,0)</f>
        <v>89</v>
      </c>
    </row>
    <row r="96" spans="1:12" x14ac:dyDescent="0.3">
      <c r="A96" s="2" t="s">
        <v>12</v>
      </c>
      <c r="B96" s="2" t="s">
        <v>13</v>
      </c>
      <c r="C96">
        <v>1</v>
      </c>
      <c r="D96">
        <v>1</v>
      </c>
      <c r="E96">
        <v>1</v>
      </c>
      <c r="F96">
        <v>1</v>
      </c>
      <c r="G96">
        <v>1</v>
      </c>
      <c r="H96">
        <v>0.8</v>
      </c>
      <c r="I96">
        <v>0.5</v>
      </c>
      <c r="J96">
        <f>C96*20+D96*13+E96*13+F96*13.5+G96*13.5+H96*13.5+I96*13.5</f>
        <v>90.55</v>
      </c>
      <c r="K96">
        <f>ROUND(J96,0)</f>
        <v>91</v>
      </c>
    </row>
    <row r="97" spans="1:12" x14ac:dyDescent="0.3">
      <c r="A97" s="2" t="s">
        <v>30</v>
      </c>
      <c r="B97" s="2" t="s">
        <v>31</v>
      </c>
      <c r="C97">
        <v>1</v>
      </c>
      <c r="D97">
        <v>1</v>
      </c>
      <c r="E97">
        <v>1</v>
      </c>
      <c r="F97">
        <v>1</v>
      </c>
      <c r="G97">
        <v>1</v>
      </c>
      <c r="H97">
        <v>0.6</v>
      </c>
      <c r="I97">
        <v>0.7</v>
      </c>
      <c r="J97">
        <f>C97*20+D97*13+E97*13+F97*13.5+G97*13.5+H97*13.5+I97*13.5</f>
        <v>90.55</v>
      </c>
      <c r="K97">
        <f>ROUND(J97,0)</f>
        <v>91</v>
      </c>
    </row>
    <row r="98" spans="1:12" x14ac:dyDescent="0.3">
      <c r="A98" s="2" t="s">
        <v>70</v>
      </c>
      <c r="B98" s="2" t="s">
        <v>71</v>
      </c>
      <c r="C98">
        <v>1</v>
      </c>
      <c r="D98">
        <v>1</v>
      </c>
      <c r="E98">
        <v>1</v>
      </c>
      <c r="F98">
        <v>1</v>
      </c>
      <c r="G98">
        <v>1</v>
      </c>
      <c r="H98">
        <v>0.9</v>
      </c>
      <c r="I98">
        <v>0.4</v>
      </c>
      <c r="J98">
        <f>C98*20+D98*13+E98*13+F98*13.5+G98*13.5+H98*13.5+I98*13.5</f>
        <v>90.550000000000011</v>
      </c>
      <c r="K98">
        <f>ROUND(J98,0)</f>
        <v>91</v>
      </c>
    </row>
    <row r="99" spans="1:12" x14ac:dyDescent="0.3">
      <c r="A99" s="2" t="s">
        <v>100</v>
      </c>
      <c r="B99" s="2" t="s">
        <v>101</v>
      </c>
      <c r="C99">
        <v>1</v>
      </c>
      <c r="D99">
        <v>1</v>
      </c>
      <c r="E99">
        <v>1</v>
      </c>
      <c r="F99">
        <v>1</v>
      </c>
      <c r="G99">
        <v>1</v>
      </c>
      <c r="H99">
        <v>0.8</v>
      </c>
      <c r="I99">
        <v>0.5</v>
      </c>
      <c r="J99">
        <f>C99*20+D99*13+E99*13+F99*13.5+G99*13.5+H99*13.5+I99*13.5</f>
        <v>90.55</v>
      </c>
      <c r="K99">
        <f>ROUND(J99,0)</f>
        <v>91</v>
      </c>
    </row>
    <row r="100" spans="1:12" x14ac:dyDescent="0.3">
      <c r="A100" s="2" t="s">
        <v>82</v>
      </c>
      <c r="B100" s="2" t="s">
        <v>83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0.8</v>
      </c>
      <c r="I100">
        <v>0.6</v>
      </c>
      <c r="J100">
        <f>C100*20+D100*13+E100*13+F100*13.5+G100*13.5+H100*13.5+I100*13.5</f>
        <v>91.899999999999991</v>
      </c>
      <c r="K100">
        <f>ROUND(J100,0)</f>
        <v>92</v>
      </c>
    </row>
    <row r="101" spans="1:12" x14ac:dyDescent="0.3">
      <c r="A101" s="2" t="s">
        <v>88</v>
      </c>
      <c r="B101" s="2" t="s">
        <v>89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0.7</v>
      </c>
      <c r="I101">
        <v>0.7</v>
      </c>
      <c r="J101">
        <f>C101*20+D101*13+E101*13+F101*13.5+G101*13.5+H101*13.5+I101*13.5</f>
        <v>91.9</v>
      </c>
      <c r="K101">
        <f>ROUND(J101,0)</f>
        <v>92</v>
      </c>
    </row>
    <row r="102" spans="1:12" x14ac:dyDescent="0.3">
      <c r="A102" s="2" t="s">
        <v>132</v>
      </c>
      <c r="B102" s="2" t="s">
        <v>133</v>
      </c>
      <c r="C102">
        <v>1</v>
      </c>
      <c r="D102">
        <v>0.5</v>
      </c>
      <c r="E102">
        <v>1</v>
      </c>
      <c r="F102">
        <v>1</v>
      </c>
      <c r="G102">
        <v>1</v>
      </c>
      <c r="H102">
        <v>1</v>
      </c>
      <c r="I102">
        <v>0.9</v>
      </c>
      <c r="J102">
        <f>C102*20+D102*13+E102*13+F102*13.5+G102*13.5+H102*13.5+I102*13.5</f>
        <v>92.15</v>
      </c>
      <c r="K102">
        <f>ROUND(J102,0)</f>
        <v>92</v>
      </c>
      <c r="L102" t="s">
        <v>256</v>
      </c>
    </row>
    <row r="103" spans="1:12" x14ac:dyDescent="0.3">
      <c r="A103" s="2" t="s">
        <v>160</v>
      </c>
      <c r="B103" s="2" t="s">
        <v>161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0.7</v>
      </c>
      <c r="I103">
        <v>0.7</v>
      </c>
      <c r="J103">
        <f>C103*20+D103*13+E103*13+F103*13.5+G103*13.5+H103*13.5+I103*13.5</f>
        <v>91.9</v>
      </c>
      <c r="K103">
        <f>ROUND(J103,0)</f>
        <v>92</v>
      </c>
    </row>
    <row r="104" spans="1:12" x14ac:dyDescent="0.3">
      <c r="A104" s="2" t="s">
        <v>16</v>
      </c>
      <c r="B104" s="2" t="s">
        <v>17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0.8</v>
      </c>
      <c r="I104">
        <v>0.7</v>
      </c>
      <c r="J104">
        <f>C104*20+D104*13+E104*13+F104*13.5+G104*13.5+H104*13.5+I104*13.5</f>
        <v>93.25</v>
      </c>
      <c r="K104">
        <f>ROUND(J104,0)</f>
        <v>93</v>
      </c>
    </row>
    <row r="105" spans="1:12" x14ac:dyDescent="0.3">
      <c r="A105" s="2" t="s">
        <v>49</v>
      </c>
      <c r="B105" s="2" t="s">
        <v>50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0.9</v>
      </c>
      <c r="I105">
        <v>0.6</v>
      </c>
      <c r="J105">
        <f>C105*20+D105*13+E105*13+F105*13.5+G105*13.5+H105*13.5+I105*13.5</f>
        <v>93.25</v>
      </c>
      <c r="K105">
        <f>ROUND(J105,0)</f>
        <v>93</v>
      </c>
    </row>
    <row r="106" spans="1:12" x14ac:dyDescent="0.3">
      <c r="A106" s="2" t="s">
        <v>126</v>
      </c>
      <c r="B106" s="2" t="s">
        <v>127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0.6</v>
      </c>
      <c r="I106">
        <v>0.9</v>
      </c>
      <c r="J106">
        <f>C106*20+D106*13+E106*13+F106*13.5+G106*13.5+H106*13.5+I106*13.5</f>
        <v>93.25</v>
      </c>
      <c r="K106">
        <f>ROUND(J106,0)</f>
        <v>93</v>
      </c>
    </row>
    <row r="107" spans="1:12" x14ac:dyDescent="0.3">
      <c r="A107" s="2" t="s">
        <v>10</v>
      </c>
      <c r="B107" s="2" t="s">
        <v>11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0.6</v>
      </c>
      <c r="J107">
        <f>C107*20+D107*13+E107*13+F107*13.5+G107*13.5+H107*13.5+I107*13.5</f>
        <v>94.6</v>
      </c>
      <c r="K107">
        <f>ROUND(J107,0)</f>
        <v>95</v>
      </c>
    </row>
    <row r="108" spans="1:12" x14ac:dyDescent="0.3">
      <c r="A108" s="2" t="s">
        <v>139</v>
      </c>
      <c r="B108" s="2" t="s">
        <v>140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0.6</v>
      </c>
      <c r="J108">
        <f>C108*20+D108*13+E108*13+F108*13.5+G108*13.5+H108*13.5+I108*13.5</f>
        <v>94.6</v>
      </c>
      <c r="K108">
        <f>ROUND(J108,0)</f>
        <v>95</v>
      </c>
    </row>
    <row r="109" spans="1:12" x14ac:dyDescent="0.3">
      <c r="A109" s="2" t="s">
        <v>151</v>
      </c>
      <c r="B109" s="2" t="s">
        <v>142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0.7</v>
      </c>
      <c r="J109">
        <f>C109*20+D109*13+E109*13+F109*13.5+G109*13.5+H109*13.5+I109*13.5</f>
        <v>95.95</v>
      </c>
      <c r="K109">
        <f>ROUND(J109,0)</f>
        <v>96</v>
      </c>
    </row>
    <row r="110" spans="1:12" x14ac:dyDescent="0.3">
      <c r="A110" s="2" t="s">
        <v>176</v>
      </c>
      <c r="B110" s="2" t="s">
        <v>177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0.7</v>
      </c>
      <c r="J110">
        <f>C110*20+D110*13+E110*13+F110*13.5+G110*13.5+H110*13.5+I110*13.5</f>
        <v>95.95</v>
      </c>
      <c r="K110">
        <f>ROUND(J110,0)</f>
        <v>96</v>
      </c>
    </row>
    <row r="111" spans="1:12" x14ac:dyDescent="0.3">
      <c r="A111" s="2" t="s">
        <v>230</v>
      </c>
      <c r="B111" s="2" t="s">
        <v>231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0.8</v>
      </c>
      <c r="I111">
        <v>0.9</v>
      </c>
      <c r="J111">
        <f>C111*20+D111*13+E111*13+F111*13.5+G111*13.5+H111*13.5+I111*13.5</f>
        <v>95.95</v>
      </c>
      <c r="K111">
        <f>ROUND(J111,0)</f>
        <v>96</v>
      </c>
    </row>
    <row r="112" spans="1:12" x14ac:dyDescent="0.3">
      <c r="A112" s="2" t="s">
        <v>72</v>
      </c>
      <c r="B112" s="2" t="s">
        <v>73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0.9</v>
      </c>
      <c r="I112">
        <v>0.9</v>
      </c>
      <c r="J112">
        <f>C112*20+D112*13+E112*13+F112*13.5+G112*13.5+H112*13.5+I112*13.5</f>
        <v>97.300000000000011</v>
      </c>
      <c r="K112">
        <f>ROUND(J112,0)</f>
        <v>97</v>
      </c>
    </row>
    <row r="113" spans="1:11" x14ac:dyDescent="0.3">
      <c r="A113" s="2" t="s">
        <v>76</v>
      </c>
      <c r="B113" s="2" t="s">
        <v>77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0.9</v>
      </c>
      <c r="I113">
        <v>0.9</v>
      </c>
      <c r="J113">
        <f>C113*20+D113*13+E113*13+F113*13.5+G113*13.5+H113*13.5+I113*13.5</f>
        <v>97.300000000000011</v>
      </c>
      <c r="K113">
        <f>ROUND(J113,0)</f>
        <v>97</v>
      </c>
    </row>
    <row r="114" spans="1:11" x14ac:dyDescent="0.3">
      <c r="A114" s="2" t="s">
        <v>152</v>
      </c>
      <c r="B114" s="2" t="s">
        <v>153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0.8</v>
      </c>
      <c r="J114">
        <f>C114*20+D114*13+E114*13+F114*13.5+G114*13.5+H114*13.5+I114*13.5</f>
        <v>97.3</v>
      </c>
      <c r="K114">
        <f>ROUND(J114,0)</f>
        <v>97</v>
      </c>
    </row>
    <row r="115" spans="1:11" x14ac:dyDescent="0.3">
      <c r="A115" s="2" t="s">
        <v>51</v>
      </c>
      <c r="B115" s="2" t="s">
        <v>52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0.9</v>
      </c>
      <c r="J115">
        <f>C115*20+D115*13+E115*13+F115*13.5+G115*13.5+H115*13.5+I115*13.5</f>
        <v>98.65</v>
      </c>
      <c r="K115">
        <f>ROUND(J115,0)</f>
        <v>99</v>
      </c>
    </row>
    <row r="116" spans="1:11" x14ac:dyDescent="0.3">
      <c r="A116" s="2" t="s">
        <v>74</v>
      </c>
      <c r="B116" s="2" t="s">
        <v>75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0.9</v>
      </c>
      <c r="J116">
        <f>C116*20+D116*13+E116*13+F116*13.5+G116*13.5+H116*13.5+I116*13.5</f>
        <v>98.65</v>
      </c>
      <c r="K116">
        <f>ROUND(J116,0)</f>
        <v>99</v>
      </c>
    </row>
    <row r="117" spans="1:11" x14ac:dyDescent="0.3">
      <c r="A117" s="2" t="s">
        <v>228</v>
      </c>
      <c r="B117" s="2" t="s">
        <v>229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0.9</v>
      </c>
      <c r="J117">
        <f>C117*20+D117*13+E117*13+F117*13.5+G117*13.5+H117*13.5+I117*13.5</f>
        <v>98.65</v>
      </c>
      <c r="K117">
        <f>ROUND(J117,0)</f>
        <v>99</v>
      </c>
    </row>
    <row r="118" spans="1:11" x14ac:dyDescent="0.3">
      <c r="A118" s="2" t="s">
        <v>18</v>
      </c>
      <c r="B118" s="2" t="s">
        <v>19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f>C118*20+D118*13+E118*13+F118*13.5+G118*13.5+H118*13.5+I118*13.5</f>
        <v>100</v>
      </c>
      <c r="K118">
        <f>ROUND(J118,0)</f>
        <v>100</v>
      </c>
    </row>
    <row r="119" spans="1:11" x14ac:dyDescent="0.3">
      <c r="A119" s="2" t="s">
        <v>90</v>
      </c>
      <c r="B119" s="2" t="s">
        <v>91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f>C119*20+D119*13+E119*13+F119*13.5+G119*13.5+H119*13.5+I119*13.5</f>
        <v>100</v>
      </c>
      <c r="K119">
        <f>ROUND(J119,0)</f>
        <v>100</v>
      </c>
    </row>
    <row r="120" spans="1:11" x14ac:dyDescent="0.3">
      <c r="A120" s="2" t="s">
        <v>114</v>
      </c>
      <c r="B120" s="2" t="s">
        <v>115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f>C120*20+D120*13+E120*13+F120*13.5+G120*13.5+H120*13.5+I120*13.5</f>
        <v>100</v>
      </c>
      <c r="K120">
        <f>ROUND(J120,0)</f>
        <v>100</v>
      </c>
    </row>
    <row r="121" spans="1:11" x14ac:dyDescent="0.3">
      <c r="A121" s="2" t="s">
        <v>116</v>
      </c>
      <c r="B121" s="2" t="s">
        <v>17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f>C121*20+D121*13+E121*13+F121*13.5+G121*13.5+H121*13.5+I121*13.5</f>
        <v>100</v>
      </c>
      <c r="K121">
        <f>ROUND(J121,0)</f>
        <v>100</v>
      </c>
    </row>
    <row r="122" spans="1:11" x14ac:dyDescent="0.3">
      <c r="A122" s="2" t="s">
        <v>122</v>
      </c>
      <c r="B122" s="2" t="s">
        <v>123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f>C122*20+D122*13+E122*13+F122*13.5+G122*13.5+H122*13.5+I122*13.5</f>
        <v>100</v>
      </c>
      <c r="K122">
        <f>ROUND(J122,0)</f>
        <v>100</v>
      </c>
    </row>
    <row r="123" spans="1:11" x14ac:dyDescent="0.3">
      <c r="A123" s="2" t="s">
        <v>183</v>
      </c>
      <c r="B123" s="2" t="s">
        <v>184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f>C123*20+D123*13+E123*13+F123*13.5+G123*13.5+H123*13.5+I123*13.5</f>
        <v>100</v>
      </c>
      <c r="K123">
        <f>ROUND(J123,0)</f>
        <v>100</v>
      </c>
    </row>
    <row r="124" spans="1:11" x14ac:dyDescent="0.3">
      <c r="A124" s="2" t="s">
        <v>198</v>
      </c>
      <c r="B124" s="2" t="s">
        <v>199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f>C124*20+D124*13+E124*13+F124*13.5+G124*13.5+H124*13.5+I124*13.5</f>
        <v>100</v>
      </c>
      <c r="K124">
        <f>ROUND(J124,0)</f>
        <v>100</v>
      </c>
    </row>
    <row r="125" spans="1:11" x14ac:dyDescent="0.3">
      <c r="A125" s="2" t="s">
        <v>204</v>
      </c>
      <c r="B125" s="2" t="s">
        <v>205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f>C125*20+D125*13+E125*13+F125*13.5+G125*13.5+H125*13.5+I125*13.5</f>
        <v>100</v>
      </c>
      <c r="K125">
        <f>ROUND(J125,0)</f>
        <v>100</v>
      </c>
    </row>
    <row r="126" spans="1:11" x14ac:dyDescent="0.3">
      <c r="A126" s="2" t="s">
        <v>209</v>
      </c>
      <c r="B126" s="2" t="s">
        <v>179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f>C126*20+D126*13+E126*13+F126*13.5+G126*13.5+H126*13.5+I126*13.5</f>
        <v>100</v>
      </c>
      <c r="K126">
        <f>ROUND(J126,0)</f>
        <v>100</v>
      </c>
    </row>
    <row r="127" spans="1:11" x14ac:dyDescent="0.3">
      <c r="A127" s="2" t="s">
        <v>213</v>
      </c>
      <c r="B127" s="2" t="s">
        <v>214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f>C127*20+D127*13+E127*13+F127*13.5+G127*13.5+H127*13.5+I127*13.5</f>
        <v>100</v>
      </c>
      <c r="K127">
        <f>ROUND(J127,0)</f>
        <v>100</v>
      </c>
    </row>
    <row r="128" spans="1:11" x14ac:dyDescent="0.3">
      <c r="A128" s="2" t="s">
        <v>236</v>
      </c>
      <c r="B128" s="2" t="s">
        <v>175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f>C128*20+D128*13+E128*13+F128*13.5+G128*13.5+H128*13.5+I128*13.5</f>
        <v>100</v>
      </c>
      <c r="K128">
        <f>ROUND(J128,0)</f>
        <v>100</v>
      </c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</sheetData>
  <sortState xmlns:xlrd2="http://schemas.microsoft.com/office/spreadsheetml/2017/richdata2" ref="A2:L128">
    <sortCondition ref="K2:K1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jordanwehrman@outlook.com</dc:creator>
  <cp:lastModifiedBy>jordanwehrman@outlook.com</cp:lastModifiedBy>
  <dcterms:created xsi:type="dcterms:W3CDTF">2024-03-22T03:20:29Z</dcterms:created>
  <dcterms:modified xsi:type="dcterms:W3CDTF">2024-03-24T05:50:19Z</dcterms:modified>
</cp:coreProperties>
</file>